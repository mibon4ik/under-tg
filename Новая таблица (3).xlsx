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льфараби" sheetId="1" r:id="rId5"/>
  </sheets>
  <definedNames>
    <definedName hidden="1" localSheetId="0" name="_xlnm._FilterDatabase">'Альфараби'!$C$1:$C$1000</definedName>
  </definedNames>
  <calcPr/>
</workbook>
</file>

<file path=xl/sharedStrings.xml><?xml version="1.0" encoding="utf-8"?>
<sst xmlns="http://schemas.openxmlformats.org/spreadsheetml/2006/main" count="505" uniqueCount="253">
  <si>
    <t>https://crm.ddl.kz/sales/oneClient/58550</t>
  </si>
  <si>
    <t>Имя Фамилия↕</t>
  </si>
  <si>
    <t>🔋 Батарейка</t>
  </si>
  <si>
    <t>Сегмент</t>
  </si>
  <si>
    <t>Телефон↕</t>
  </si>
  <si>
    <t>Дни до окончания↕</t>
  </si>
  <si>
    <t>Динмухаммед ОрынбасарamoCRM</t>
  </si>
  <si>
    <t>🔴 Красная</t>
  </si>
  <si>
    <t>Красная &lt;40%</t>
  </si>
  <si>
    <t>Закончится через 3 дн.
15,6 %
Посетил — 15 Среднее по этому абонементу — 96 От среднего — 15,6 %</t>
  </si>
  <si>
    <t>Карашык ДуйсенкалиamoCRM</t>
  </si>
  <si>
    <t>Закончится через 3 дн.
2,1 %
Посетил — 1 Среднее по этому абонементу — 48 От среднего — 2,1 %</t>
  </si>
  <si>
    <t>Мукушев РахманamoCRM</t>
  </si>
  <si>
    <t>🟢 Зеленая</t>
  </si>
  <si>
    <t>Зеленая 80%+</t>
  </si>
  <si>
    <t>Закончится через 3 дн.
100 %
Посетил — 31 Среднее по этому абонементу — 24 От среднего — 100 %</t>
  </si>
  <si>
    <t>Ботагоз УтегенamoCRM</t>
  </si>
  <si>
    <t>Закончится через 3 дн.
87,5 %
Посетил — 7 Среднее по этому абонементу — 8 От среднего — 87,5 %</t>
  </si>
  <si>
    <t>Хусан АшиваврихamoCRM</t>
  </si>
  <si>
    <t>Закончится через 3 дн.
37,5 %
Посетил — 3 Среднее по этому абонементу — 8 От среднего — 37,5 %</t>
  </si>
  <si>
    <t>Берик УзакбайулыamoCRM</t>
  </si>
  <si>
    <t>Закончится через 4 дн.
9,4 %
Посетил — 9 Среднее по этому абонементу — 96 От среднего — 9,4 %</t>
  </si>
  <si>
    <t>Рахат НуркасимовamoCRM</t>
  </si>
  <si>
    <t>Закончится через 4 дн.
15,6 %
Посетил — 15 Среднее по этому абонементу — 96 От среднего — 15,6 %</t>
  </si>
  <si>
    <t>Жаркын АбайamoCRM</t>
  </si>
  <si>
    <t>Закончится через 5 дн.
28,1 %
Посетил — 27 Среднее по этому абонементу — 96 От среднего — 28,1 %</t>
  </si>
  <si>
    <t>Диас ТалпаковamoCRM</t>
  </si>
  <si>
    <t>Закончится через 5 дн.
7,3 %
Посетил — 7 Среднее по этому абонементу — 96 От среднего — 7,3 %</t>
  </si>
  <si>
    <t>Ержигит СабирamoCRM</t>
  </si>
  <si>
    <t>🟡 Желтая</t>
  </si>
  <si>
    <t>Желтая 40-79%</t>
  </si>
  <si>
    <t>Закончится через 5 дн.
41,7 %
Посетил — 10 Среднее по этому абонементу — 24 От среднего — 41,7 %</t>
  </si>
  <si>
    <t>Дархан БашарamoCRM</t>
  </si>
  <si>
    <t>Закончится через 5 дн.
100 %
Посетил — 11 Среднее по этому абонементу — 8 От среднего — 100 %</t>
  </si>
  <si>
    <t>Наталья БуркинаamoCRM</t>
  </si>
  <si>
    <t>Закончится через 5 дн.
100 %
Посетил — 9 Среднее по этому абонементу — 8 От среднего — 100 %</t>
  </si>
  <si>
    <t>Ескендир КанышпаевamoCRM</t>
  </si>
  <si>
    <t>Закончится через 5 дн.
100 %
Посетил — 8 Среднее по этому абонементу — 8 От среднего — 100 %</t>
  </si>
  <si>
    <t>Айнура ЖексенгалиеваamoCRM</t>
  </si>
  <si>
    <t>Закончится через 6 дн.
100 %
Посетил — 98 Среднее по этому абонементу — 96 От среднего — 100 %</t>
  </si>
  <si>
    <t>Улжан ЕлшибековаamoCRM</t>
  </si>
  <si>
    <t>Закончится через 6 дн.
100 %
Посетил — 9 Среднее по этому абонементу — 8 От среднего — 100 %</t>
  </si>
  <si>
    <t>Assem AnvarovaamoCRM</t>
  </si>
  <si>
    <t>Закончится через 6 дн.
25 %
Посетил — 2 Среднее по этому абонементу — 8 От среднего — 25 %</t>
  </si>
  <si>
    <t>Zhannat ELEMEssovaamoCRM</t>
  </si>
  <si>
    <t>Закончится через 6 дн.
37,5 %
Посетил — 3 Среднее по этому абонементу — 8 От среднего — 37,5 %</t>
  </si>
  <si>
    <t>Раушан ТашкенбайamoCRM</t>
  </si>
  <si>
    <t>Закончится через 6 дн.
62,5 %
Посетил — 5 Среднее по этому абонементу — 8 От среднего — 62,5 %</t>
  </si>
  <si>
    <t>Әлібек ӘнешamoCRM</t>
  </si>
  <si>
    <t>Закончится через 7 дн.
81,3 %
Посетил — 78 Среднее по этому абонементу — 96 От среднего — 81,3 %</t>
  </si>
  <si>
    <t>Мадияр ТенелханamoCRM</t>
  </si>
  <si>
    <t>Закончится через 7 дн.
27,1 %
Посетил — 26 Среднее по этому абонементу — 96 От среднего — 27,1 %</t>
  </si>
  <si>
    <t>Якубова АсельamoCRM</t>
  </si>
  <si>
    <t>Закончится через 7 дн.
12,5 %
Посетил — 1 Среднее по этому абонементу — 8 От среднего — 12,5 %</t>
  </si>
  <si>
    <t>Фазыл ЖандосamoCRM</t>
  </si>
  <si>
    <t>Закончится через 7 дн.
25 %
Посетил — 2 Среднее по этому абонементу — 8 От среднего — 25 %</t>
  </si>
  <si>
    <t>Актилек КалиamoCRM
Связанный абонемент: #73507</t>
  </si>
  <si>
    <t>Закончится через 8 дн.
68,8 %
Посетил — 66 Среднее по этому абонементу — 96 От среднего — 68,8 %</t>
  </si>
  <si>
    <t>Сауле АлтаеваamoCRM</t>
  </si>
  <si>
    <t>Закончится через 8 дн.
100 %
Посетил — 24 Среднее по этому абонементу — 24 От среднего — 100 %</t>
  </si>
  <si>
    <t>Алия АйбекamoCRM</t>
  </si>
  <si>
    <t>Закончится через 8 дн.
75 %
Посетил — 18 Среднее по этому абонементу — 24 От среднего — 75 %</t>
  </si>
  <si>
    <t>Жаслан АйтмагамбетовamoCRM</t>
  </si>
  <si>
    <t>Закончится через 8 дн.
50 %
Посетил — 4 Среднее по этому абонементу — 8 От среднего — 50 %</t>
  </si>
  <si>
    <t>Нурхан ТурашamoCRM</t>
  </si>
  <si>
    <t>Закончится через 8 дн.
100 %
Посетил — 8 Среднее по этому абонементу — 8 От среднего — 100 %</t>
  </si>
  <si>
    <t>Зарина РассильamoCRM</t>
  </si>
  <si>
    <t>Закончится через 8 дн.
87,5 %
Посетил — 7 Среднее по этому абонементу — 8 От среднего — 87,5 %</t>
  </si>
  <si>
    <t>Зулькар ЖандосamoCRM</t>
  </si>
  <si>
    <t>Закончится через 9 дн.
64,6 %
Посетил — 31 Среднее по этому абонементу — 48 От среднего — 64,6 %</t>
  </si>
  <si>
    <t>Куатжан ШыныбековamoCRM</t>
  </si>
  <si>
    <t>Закончится через 10 дн.
59,4 %
Посетил — 57 Среднее по этому абонементу — 96 От среднего — 59,4 %</t>
  </si>
  <si>
    <t>Тәңірберген БаянбайamoCRM</t>
  </si>
  <si>
    <t>Закончится через 10 дн.
2,1 %
Посетил — 2 Среднее по этому абонементу — 96 От среднего — 2,1 %</t>
  </si>
  <si>
    <t>Жангир БайузаковamoCRM</t>
  </si>
  <si>
    <t>Закончится через 10 дн.
100 %
Посетил — 9 Среднее по этому абонементу — 8 От среднего — 100 %</t>
  </si>
  <si>
    <t>Айнура АббасоваamoCRM</t>
  </si>
  <si>
    <t>Закончится через 11 дн.
14,6 %
Посетил — 14 Среднее по этому абонементу — 96 От среднего — 14,6 %</t>
  </si>
  <si>
    <t>Бексұлтан АқылбековamoCRM</t>
  </si>
  <si>
    <t>Закончится через 11 дн.
74 %
Посетил — 71 Среднее по этому абонементу — 96 От среднего — 74 %</t>
  </si>
  <si>
    <t>Айгуль АльпейсоваamoCRM</t>
  </si>
  <si>
    <t>Закончится через 11 дн.
68,8 %
Посетил — 66 Среднее по этому абонементу — 96 От среднего — 68,8 %</t>
  </si>
  <si>
    <t>Жадыра КойшибаеваamoCRM</t>
  </si>
  <si>
    <t>Закончится через 11 дн.
39,6 %
Посетил — 38 Среднее по этому абонементу — 96 От среднего — 39,6 %</t>
  </si>
  <si>
    <t>Габбасов АсаналиamoCRM</t>
  </si>
  <si>
    <t>Закончится через 11 дн.
100 %
Посетил — 28 Среднее по этому абонементу — 24 От среднего — 100 %</t>
  </si>
  <si>
    <t>ПОД ВОПРОСОМ ЕСЕНА</t>
  </si>
  <si>
    <t>Сымбат КасеноваamoCRM</t>
  </si>
  <si>
    <t>Закончится через 12 дн.
62,5 %
Посетил — 5 Среднее по этому абонементу — 8 От среднего — 62,5 %</t>
  </si>
  <si>
    <t>Сауле ХабиденоваamoCRM</t>
  </si>
  <si>
    <t>Закончится через 12 дн.
87,5 %
Посетил — 7 Среднее по этому абонементу — 8 От среднего — 87,5 %</t>
  </si>
  <si>
    <t>Камила СадвакасоваamoCRM</t>
  </si>
  <si>
    <t>Закончится через 13 дн.
27,1 %
Посетил — 26 Среднее по этому абонементу — 96 От среднего — 27,1 %</t>
  </si>
  <si>
    <t>Адиль КалиаскарamoCRM</t>
  </si>
  <si>
    <t>Закончится через 13 дн.
87,5 %
Посетил — 7 Среднее по этому абонементу — 8 От среднего — 87,5 %</t>
  </si>
  <si>
    <t>Адлет АлдашamoCRM</t>
  </si>
  <si>
    <t>Закончится через 13 дн.
62,5 %
Посетил — 5 Среднее по этому абонементу — 8 От среднего — 62,5 %</t>
  </si>
  <si>
    <t>Фариза ДжумабаеваamoCRM</t>
  </si>
  <si>
    <t>Закончится через 14 дн.
75 %
Посетил — 18 Среднее по этому абонементу — 24 От среднего — 75 %</t>
  </si>
  <si>
    <t>Наурзбеков РайымбекamoCRM</t>
  </si>
  <si>
    <t>Закончится через 14 дн.
33,3 %
Посетил — 8 Среднее по этому абонементу — 24 От среднего — 33,3 %</t>
  </si>
  <si>
    <t>Елена АхметжановаamoCRM
Связанный абонемент: #113549</t>
  </si>
  <si>
    <t>Закончится через 14 дн.
50 %
Посетил — 4 Среднее по этому абонементу — 8 От среднего — 50 %</t>
  </si>
  <si>
    <t>Сағындық МақұлбекamoCRM</t>
  </si>
  <si>
    <t>Закончится через 15 дн.
1 %
Посетил — 1 Среднее по этому абонементу — 96 От среднего — 1 %</t>
  </si>
  <si>
    <t>Малика ДавлетниязоваamoCRM</t>
  </si>
  <si>
    <t>Закончится через 15 дн.
100 %
Посетил — 8 Среднее по этому абонементу — 8 От среднего — 100 %</t>
  </si>
  <si>
    <t>Асем ОжановаamoCRM
Связанный абонемент: #71408</t>
  </si>
  <si>
    <t>Закончится через 16 дн.
57,5 %
Посетил — 46 Среднее по этому абонементу — 80 От среднего — 57,5 %</t>
  </si>
  <si>
    <t>Тулебаева АктолкынamoCRM</t>
  </si>
  <si>
    <t>Закончится через 16 дн.
100 %
Посетил — 28 Среднее по этому абонементу — 24 От среднего — 100 %</t>
  </si>
  <si>
    <t>Айгерим БекеноваamoCRM</t>
  </si>
  <si>
    <t>Закончится через 16 дн.
100 %
Посетил — 26 Среднее по этому абонементу — 24 От среднего — 100 %</t>
  </si>
  <si>
    <t>Әкежан БолатхановamoCRM
Связанный абонемент: #74149</t>
  </si>
  <si>
    <t>Закончится через 17 дн.
77,5 %
Посетил — 62 Среднее по этому абонементу — 80 От среднего — 77,5 %</t>
  </si>
  <si>
    <t>Темирлан АхметиярamoCRM</t>
  </si>
  <si>
    <t>Закончится через 17 дн.
35,4 %
Посетил — 34 Среднее по этому абонементу — 96 От среднего — 35,4 %</t>
  </si>
  <si>
    <t>Ерлан АхашовamoCRM</t>
  </si>
  <si>
    <t>Закончится через 17 дн.
71,9 %
Посетил — 69 Среднее по этому абонементу — 96 От среднего — 71,9 %</t>
  </si>
  <si>
    <t>⁠Сұлтан ⁠ОралбекamoCRM</t>
  </si>
  <si>
    <t>Закончится через 17 дн.
21,9 %
Посетил — 21 Среднее по этому абонементу — 96 От среднего — 21,9 %</t>
  </si>
  <si>
    <t>Жанатбек ҚарабайamoCRM</t>
  </si>
  <si>
    <t>Закончится через 17 дн.
64,6 %
Посетил — 62 Среднее по этому абонементу — 96 От среднего — 64,6 %</t>
  </si>
  <si>
    <t>Балажигитов АянamoCRM</t>
  </si>
  <si>
    <t>Закончится через 17 дн.
16,7 %
Посетил — 4 Среднее по этому абонементу — 24 От среднего — 16,7 %</t>
  </si>
  <si>
    <t>Мариям ОсетоваamoCRM</t>
  </si>
  <si>
    <t>Закончится через 17 дн.
29,2 %
Посетил — 7 Среднее по этому абонементу — 24 От среднего — 29,2 %</t>
  </si>
  <si>
    <t>Бокейхан СерикбаевamoCRM</t>
  </si>
  <si>
    <t>Закончится через 18 дн.
10,4 %
Посетил — 10 Среднее по этому абонементу — 96 От среднего — 10,4 %</t>
  </si>
  <si>
    <t>Ербол ШукеевamoCRM</t>
  </si>
  <si>
    <t>Закончится через 18 дн.
100 %
Посетил — 102 Среднее по этому абонементу — 96 От среднего — 100 %</t>
  </si>
  <si>
    <t>Алия ИльясоваamoCRM</t>
  </si>
  <si>
    <t>Закончится через 18 дн.
100 %
Посетил — 132 Среднее по этому абонементу — 96 От среднего — 100 %</t>
  </si>
  <si>
    <t>Даяна АхметжанamoCRM</t>
  </si>
  <si>
    <t>Закончится через 18 дн.
24 %
Посетил — 23 Среднее по этому абонементу — 96 От среднего — 24 %</t>
  </si>
  <si>
    <t>Нурбол ‪ БолатбековamoCRM</t>
  </si>
  <si>
    <t>Закончится через 19 дн.
100 %
Посетил — 110 Среднее по этому абонементу — 96 От среднего — 100 %</t>
  </si>
  <si>
    <t>Айнұр ЖүсіпamoCRM
Связанный абонемент: #71908</t>
  </si>
  <si>
    <t>Закончится через 19 дн.
19,3 %
Посетил — 17 Среднее по этому абонементу — 88 От среднего — 19,3 %</t>
  </si>
  <si>
    <t>Дюсембеков БауржанamoCRM</t>
  </si>
  <si>
    <t>Закончится через 19 дн.
31,3 %
Посетил — 15 Среднее по этому абонементу — 48 От среднего — 31,3 %</t>
  </si>
  <si>
    <t>Дидар АлматоваamoCRM
Связанный абонемент: #108822</t>
  </si>
  <si>
    <t>Закончится через 19 дн.
9,1 %
Посетил — 8 Среднее по этому абонементу — 88 От среднего — 9,1 %</t>
  </si>
  <si>
    <t>Нұржан МаратовamoCRM</t>
  </si>
  <si>
    <t>Закончится через 19 дн.
37,5 %
Посетил — 3 Среднее по этому абонементу — 8 От среднего — 37,5 %</t>
  </si>
  <si>
    <t>Ханзада ТулегенamoCRM</t>
  </si>
  <si>
    <t>Закончится через 19 дн.
50 %
Посетил — 4 Среднее по этому абонементу — 8 От среднего — 50 %</t>
  </si>
  <si>
    <t>Алихан СулейменовamoCRM</t>
  </si>
  <si>
    <t>Закончится через 20 дн.
15,6 %
Посетил — 15 Среднее по этому абонементу — 96 От среднего — 15,6 %</t>
  </si>
  <si>
    <t>Шыңғыс АқбергеновamoCRM</t>
  </si>
  <si>
    <t>Закончится через 20 дн.
77,1 %
Посетил — 37 Среднее по этому абонементу — 48 От среднего — 77,1 %</t>
  </si>
  <si>
    <t>Санжар ШагиевamoCRM</t>
  </si>
  <si>
    <t>Закончится через 20 дн.
16,7 %
Посетил — 4 Среднее по этому абонементу — 24 От среднего — 16,7 %</t>
  </si>
  <si>
    <t>Бибигуль ОспановаamoCRM</t>
  </si>
  <si>
    <t>Закончится через 20 дн.
62,5 %
Посетил — 5 Среднее по этому абонементу — 8 От среднего — 62,5 %</t>
  </si>
  <si>
    <t>Куаныш КубеевamoCRM
Связанный абонемент: #70067</t>
  </si>
  <si>
    <t>Закончится через 21 дн.
27,5 %
Посетил — 22 Среднее по этому абонементу — 80 От среднего — 27,5 %</t>
  </si>
  <si>
    <t>Колесникова ЗаринаamoCRM</t>
  </si>
  <si>
    <t>Закончится через 21 дн.
26 %
Посетил — 25 Среднее по этому абонементу — 96 От среднего — 26 %</t>
  </si>
  <si>
    <t>Еркебулан ТуяковamoCRM</t>
  </si>
  <si>
    <t>Закончится через 21 дн.
46,9 %
Посетил — 45 Среднее по этому абонементу — 96 От среднего — 46,9 %</t>
  </si>
  <si>
    <t>Нұрасыл БекеновamoCRM</t>
  </si>
  <si>
    <t>Закончится через 21 дн.
13,5 %
Посетил — 13 Среднее по этому абонементу — 96 От среднего — 13,5 %</t>
  </si>
  <si>
    <t>Ермухамед ТуктибайamoCRM</t>
  </si>
  <si>
    <t>Закончится через 23 дн.
100 %
Посетил — 135 Среднее по этому абонементу — 96 От среднего — 100 %</t>
  </si>
  <si>
    <t>Инжу ЕсмагуловаamoCRM</t>
  </si>
  <si>
    <t>Закончится через 23 дн.
27,1 %
Посетил — 13 Среднее по этому абонементу — 48 От среднего — 27,1 %</t>
  </si>
  <si>
    <t>Елжан БилалamoCRM</t>
  </si>
  <si>
    <t>Закончится через 24 дн.
60,4 %
Посетил — 58 Среднее по этому абонементу — 96 От среднего — 60,4 %</t>
  </si>
  <si>
    <t>Адлет БайтуовamoCRM</t>
  </si>
  <si>
    <t>Закончится через 24 дн.
100 %
Посетил — 50 Среднее по этому абонементу — 48 От среднего — 100 %</t>
  </si>
  <si>
    <t>Аяжан БоранбековаamoCRM</t>
  </si>
  <si>
    <t>Закончится через 24 дн.
52,1 %
Посетил — 25 Среднее по этому абонементу — 48 От среднего — 52,1 %</t>
  </si>
  <si>
    <t>Нурхан МухаметжановamoCRM</t>
  </si>
  <si>
    <t>Закончится через 24 дн.
14,6 %
Посетил — 7 Среднее по этому абонементу — 48 От среднего — 14,6 %</t>
  </si>
  <si>
    <t>Канагат ЖенисamoCRM</t>
  </si>
  <si>
    <t>Закончится через 24 дн.
33,3 %
Посетил — 8 Среднее по этому абонементу — 24 От среднего — 33,3 %</t>
  </si>
  <si>
    <t>Айгерим АсемоваamoCRM</t>
  </si>
  <si>
    <t>Закончится через 25 дн.
39,6 %
Посетил — 38 Среднее по этому абонементу — 96 От среднего — 39,6 %</t>
  </si>
  <si>
    <t>Ахрал ИшонходжаевamoCRM</t>
  </si>
  <si>
    <t>Закончится через 25 дн.
20,8 %
Посетил — 20 Среднее по этому абонементу — 96 От среднего — 20,8 %</t>
  </si>
  <si>
    <t>Сагадат СабитоваamoCRM</t>
  </si>
  <si>
    <t>Закончится через 25 дн.
31,3 %
Посетил — 30 Среднее по этому абонементу — 96 От среднего — 31,3 %</t>
  </si>
  <si>
    <t>Куралай КантарбаеваamoCRM</t>
  </si>
  <si>
    <t>Закончится через 25 дн.
9,4 %
Посетил — 9 Среднее по этому абонементу — 96 От среднего — 9,4 %</t>
  </si>
  <si>
    <t>Арсен ИмбергеновamoCRM</t>
  </si>
  <si>
    <t>Закончится через 25 дн.
27,5 %
Посетил — 11 Среднее по этому абонементу — 40 От среднего — 27,5 %</t>
  </si>
  <si>
    <t>Алуа ЕсенгельдиноваamoCRM</t>
  </si>
  <si>
    <t>Закончится через 25 дн.
25 %
Посетил — 2 Среднее по этому абонементу — 8 От среднего — 25 %</t>
  </si>
  <si>
    <t>Даниял СерикamoCRM</t>
  </si>
  <si>
    <t>Закончится через 26 дн.
75 %
Посетил — 72 Среднее по этому абонементу — 96 От среднего — 75 %</t>
  </si>
  <si>
    <t>Айгерим КадыроваamoCRM</t>
  </si>
  <si>
    <t>Закончится через 26 дн.
62,5 %
Посетил — 15 Среднее по этому абонементу — 24 От среднего — 62,5 %</t>
  </si>
  <si>
    <t>Галамат ЕргалиamoCRM</t>
  </si>
  <si>
    <t>Закончится через 26 дн.
29,2 %
Посетил — 7 Среднее по этому абонементу — 24 От среднего — 29,2 %</t>
  </si>
  <si>
    <t>Асем УщаловаamoCRM</t>
  </si>
  <si>
    <t>Закончится через 26 дн.
50 %
Посетил — 12 Среднее по этому абонементу — 24 От среднего — 50 %</t>
  </si>
  <si>
    <t>Жансая АйгузоваamoCRM</t>
  </si>
  <si>
    <t>Диана КуанышamoCRM</t>
  </si>
  <si>
    <t>Закончится через 26 дн.
25 %
Посетил — 2 Среднее по этому абонементу — 8 От среднего — 25 %</t>
  </si>
  <si>
    <t>Мәрзия ІлпбайamoCRM</t>
  </si>
  <si>
    <t>Закончится через 26 дн.
20,8 %
Посетил — 5 Среднее по этому абонементу — 24 От среднего — 20,8 %</t>
  </si>
  <si>
    <t>Ахмет КуракбайamoCRM</t>
  </si>
  <si>
    <t>Закончится через 26 дн.
12,5 %
Посетил — 1 Среднее по этому абонементу — 8 От среднего — 12,5 %</t>
  </si>
  <si>
    <t>Артур КарпековamoCRM</t>
  </si>
  <si>
    <t>Закончится через 27 дн.
81,3 %
Посетил — 78 Среднее по этому абонементу — 96 От среднего — 81,3 %</t>
  </si>
  <si>
    <t>Алекс ЛаоamoCRM</t>
  </si>
  <si>
    <t>Закончится через 27 дн.
62,5 %
Посетил — 15 Среднее по этому абонементу — 24 От среднего — 62,5 %</t>
  </si>
  <si>
    <t>Сабыржан КайдаровamoCRM</t>
  </si>
  <si>
    <t>Закончится через 27 дн.
91,7 %
Посетил — 22 Среднее по этому абонементу — 24 От среднего — 91,7 %</t>
  </si>
  <si>
    <t>Гульмира АсмаганбетоваamoCRM
действует до 25.06.2026</t>
  </si>
  <si>
    <t>Закончится через 27 дн.
12,5 %
Посетил — 1 Среднее по этому абонементу — 8 От среднего — 12,5 %</t>
  </si>
  <si>
    <t>Шайзат РакушеваamoCRM</t>
  </si>
  <si>
    <t>Закончится через 28 дн.
7,3 %
Посетил — 7 Среднее по этому абонементу — 96 От среднего — 7,3 %</t>
  </si>
  <si>
    <t>Меирман ЖурымбаевamoCRM</t>
  </si>
  <si>
    <t>Закончится через 28 дн.
34,4 %
Посетил — 33 Среднее по этому абонементу — 96 От среднего — 34,4 %</t>
  </si>
  <si>
    <t>Айым БайжумановаamoCRM</t>
  </si>
  <si>
    <t>Биржан СенбыamoCRM</t>
  </si>
  <si>
    <t>Закончится через 28 дн.
52,1 %
Посетил — 50 Среднее по этому абонементу — 96 От среднего — 52,1 %</t>
  </si>
  <si>
    <t>Дильназ ЖакуповаamoCRM</t>
  </si>
  <si>
    <t>Закончится через 28 дн.
37,5 %
Посетил — 9 Среднее по этому абонементу — 24 От среднего — 37,5 %</t>
  </si>
  <si>
    <t>Жанболат ДаркейamoCRM</t>
  </si>
  <si>
    <t>Закончится через 29 дн.
18,8 %
Посетил — 18 Среднее по этому абонементу — 96 От среднего — 18,8 %</t>
  </si>
  <si>
    <t>Саметдин СоветовamoCRM</t>
  </si>
  <si>
    <t>Закончится через 29 дн.
29,2 %
Посетил — 28 Среднее по этому абонементу — 96 От среднего — 29,2 %</t>
  </si>
  <si>
    <t>Алмас АйгузовamoCRM</t>
  </si>
  <si>
    <t>Закончится через 29 дн.
29,2 %
Посетил — 7 Среднее по этому абонементу — 24 От среднего — 29,2 %</t>
  </si>
  <si>
    <t>Анастасия ГузьamoCRM</t>
  </si>
  <si>
    <t>Закончится через 30 дн.
95,8 %
Посетил — 92 Среднее по этому абонементу — 96 От среднего — 95,8 %</t>
  </si>
  <si>
    <t>Гульфайруз НурхатamoCRM</t>
  </si>
  <si>
    <t>Закончится через 30 дн.
7,3 %
Посетил — 7 Среднее по этому абонементу — 96 От среднего — 7,3 %</t>
  </si>
  <si>
    <t>Гульназ НурхатamoCRM</t>
  </si>
  <si>
    <t>Закончится через 30 дн.
18,8 %
Посетил — 18 Среднее по этому абонементу — 96 От среднего — 18,8 %</t>
  </si>
  <si>
    <t>Олжас ТлеубаевamoCRM</t>
  </si>
  <si>
    <t>Закончится через 31 дн.
26 %
Посетил — 25 Среднее по этому абонементу — 96 От среднего — 26 %</t>
  </si>
  <si>
    <t>Меруерт КурманбаеваamoCRM</t>
  </si>
  <si>
    <t>Закончится через 31 дн.
20,8 %
Посетил — 20 Среднее по этому абонементу — 96 От среднего — 20,8 %</t>
  </si>
  <si>
    <t>Медет ЛатипamoCRM</t>
  </si>
  <si>
    <t>Закончится через 31 дн.
60,4 %
Посетил — 58 Среднее по этому абонементу — 96 От среднего — 60,4 %</t>
  </si>
  <si>
    <t>Ажар СпановаamoCRM</t>
  </si>
  <si>
    <t>Закончится через 31 дн.
70,8 %
Посетил — 68 Среднее по этому абонементу — 96 От среднего — 70,8 %</t>
  </si>
  <si>
    <t>Альнур ДавенamoCRM</t>
  </si>
  <si>
    <t>Закончится через 32 дн.
87,5 %
Посетил — 84 Среднее по этому абонементу — 96 От среднего — 87,5 %</t>
  </si>
  <si>
    <t>Бейбитжан КочербаевamoCRM</t>
  </si>
  <si>
    <t>Закончится через 32 дн.
100 %
Посетил — 141 Среднее по этому абонементу — 96 От среднего — 100 %</t>
  </si>
  <si>
    <t>Айгуль СерикпаеваamoCRM</t>
  </si>
  <si>
    <t>Закончится через 32 дн.
95,8 %
Посетил — 23 Среднее по этому абонементу — 24 От среднего — 95,8 %</t>
  </si>
  <si>
    <t>СамостоятельныйСамостоятельный абонемент 3 месяца Универсальный3 месяца</t>
  </si>
  <si>
    <t>Камила КабдыгалиamoCRM</t>
  </si>
  <si>
    <t>СамостоятельныйСамостоятельный абонемент 1 месяц Универсальный1 месяц</t>
  </si>
  <si>
    <t>Дежурный тренерДежурный тренер 12 месяцев Универсальный12 месяца</t>
  </si>
  <si>
    <t>СамостоятельныйСамостоятельный абонемент 12 месяцев Универсальный12 месяцев</t>
  </si>
  <si>
    <t>Асанали РаймбаевamoCRM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</si>
</sst>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u/>
      <sz val="11.0"/>
      <color theme="1"/>
      <name val="Ui-sans-serif"/>
    </font>
    <font>
      <sz val="11.0"/>
      <color theme="1"/>
      <name val="Ui-sans-serif"/>
    </font>
    <font>
      <b/>
      <sz val="11.0"/>
      <color theme="1"/>
      <name val="Arial"/>
    </font>
    <font>
      <u/>
      <sz val="12.0"/>
      <color rgb="FF0000FF"/>
      <name val="Ui-sans-serif"/>
    </font>
    <font>
      <b/>
      <sz val="12.0"/>
      <color rgb="FFCC0000"/>
      <name val="Arial"/>
    </font>
    <font>
      <sz val="10.0"/>
      <color rgb="FFCC0000"/>
      <name val="Arial"/>
    </font>
    <font>
      <sz val="12.0"/>
      <color theme="1"/>
      <name val="Ui-sans-serif"/>
    </font>
    <font>
      <sz val="9.0"/>
      <color theme="1"/>
      <name val="Ui-sans-serif"/>
    </font>
    <font>
      <b/>
      <sz val="12.0"/>
      <color rgb="FF007744"/>
      <name val="Arial"/>
    </font>
    <font>
      <sz val="10.0"/>
      <color rgb="FF007744"/>
      <name val="Arial"/>
    </font>
    <font>
      <b/>
      <sz val="12.0"/>
      <color rgb="FF996600"/>
      <name val="Arial"/>
    </font>
    <font>
      <sz val="10.0"/>
      <color rgb="FF996600"/>
      <name val="Arial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FFDDDD"/>
        <bgColor rgb="FFFFDDDD"/>
      </patternFill>
    </fill>
    <fill>
      <patternFill patternType="solid">
        <fgColor rgb="FFDDFFF0"/>
        <bgColor rgb="FFDDFFF0"/>
      </patternFill>
    </fill>
    <fill>
      <patternFill patternType="solid">
        <fgColor rgb="FFFFFBDD"/>
        <bgColor rgb="FFFFFBDD"/>
      </patternFill>
    </fill>
  </fills>
  <borders count="3">
    <border/>
    <border>
      <left style="thin">
        <color rgb="FF94A3B8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0" fillId="2" fontId="3" numFmtId="0" xfId="0" applyAlignment="1" applyFill="1" applyFont="1">
      <alignment horizontal="center" vertical="center"/>
    </xf>
    <xf borderId="2" fillId="3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left"/>
    </xf>
    <xf borderId="0" fillId="4" fontId="5" numFmtId="0" xfId="0" applyAlignment="1" applyFill="1" applyFont="1">
      <alignment horizontal="center" vertical="center"/>
    </xf>
    <xf borderId="0" fillId="4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0" fillId="5" fontId="9" numFmtId="0" xfId="0" applyAlignment="1" applyFill="1" applyFont="1">
      <alignment horizontal="center" vertical="center"/>
    </xf>
    <xf borderId="0" fillId="5" fontId="10" numFmtId="0" xfId="0" applyAlignment="1" applyFont="1">
      <alignment horizontal="center" vertical="center"/>
    </xf>
    <xf borderId="0" fillId="6" fontId="11" numFmtId="0" xfId="0" applyAlignment="1" applyFill="1" applyFont="1">
      <alignment horizontal="center" vertical="center"/>
    </xf>
    <xf borderId="0" fillId="6" fontId="12" numFmtId="0" xfId="0" applyAlignment="1" applyFont="1">
      <alignment horizontal="center" vertical="center"/>
    </xf>
    <xf borderId="0" fillId="0" fontId="13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0" fontId="14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0</xdr:row>
      <xdr:rowOff>0</xdr:rowOff>
    </xdr:from>
    <xdr:ext cx="4876800" cy="22955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rm.ddl.kz/sales/oneClient/60893" TargetMode="External"/><Relationship Id="rId42" Type="http://schemas.openxmlformats.org/officeDocument/2006/relationships/hyperlink" Target="https://crm.ddl.kz/sales/oneClient/21444" TargetMode="External"/><Relationship Id="rId41" Type="http://schemas.openxmlformats.org/officeDocument/2006/relationships/hyperlink" Target="https://crm.ddl.kz/sales/oneClient/42861" TargetMode="External"/><Relationship Id="rId44" Type="http://schemas.openxmlformats.org/officeDocument/2006/relationships/hyperlink" Target="https://crm.ddl.kz/sales/oneClient/41972" TargetMode="External"/><Relationship Id="rId43" Type="http://schemas.openxmlformats.org/officeDocument/2006/relationships/hyperlink" Target="https://crm.ddl.kz/sales/oneClient/66049" TargetMode="External"/><Relationship Id="rId46" Type="http://schemas.openxmlformats.org/officeDocument/2006/relationships/hyperlink" Target="https://crm.ddl.kz/sales/oneClient/22030" TargetMode="External"/><Relationship Id="rId45" Type="http://schemas.openxmlformats.org/officeDocument/2006/relationships/hyperlink" Target="https://crm.ddl.kz/sales/oneClient/62542" TargetMode="External"/><Relationship Id="rId107" Type="http://schemas.openxmlformats.org/officeDocument/2006/relationships/hyperlink" Target="https://crm.ddl.kz/sales/oneClient/42188" TargetMode="External"/><Relationship Id="rId106" Type="http://schemas.openxmlformats.org/officeDocument/2006/relationships/hyperlink" Target="https://crm.ddl.kz/sales/oneClient/62531" TargetMode="External"/><Relationship Id="rId105" Type="http://schemas.openxmlformats.org/officeDocument/2006/relationships/hyperlink" Target="https://crm.ddl.kz/sales/oneClient/43548" TargetMode="External"/><Relationship Id="rId104" Type="http://schemas.openxmlformats.org/officeDocument/2006/relationships/hyperlink" Target="https://crm.ddl.kz/sales/oneClient/41381" TargetMode="External"/><Relationship Id="rId109" Type="http://schemas.openxmlformats.org/officeDocument/2006/relationships/hyperlink" Target="https://crm.ddl.kz/sales/oneClient/63598" TargetMode="External"/><Relationship Id="rId108" Type="http://schemas.openxmlformats.org/officeDocument/2006/relationships/hyperlink" Target="https://crm.ddl.kz/sales/oneClient/43547" TargetMode="External"/><Relationship Id="rId48" Type="http://schemas.openxmlformats.org/officeDocument/2006/relationships/hyperlink" Target="https://crm.ddl.kz/sales/oneClient/60666" TargetMode="External"/><Relationship Id="rId47" Type="http://schemas.openxmlformats.org/officeDocument/2006/relationships/hyperlink" Target="https://crm.ddl.kz/sales/oneClient/43008" TargetMode="External"/><Relationship Id="rId49" Type="http://schemas.openxmlformats.org/officeDocument/2006/relationships/hyperlink" Target="https://crm.ddl.kz/sales/oneClient/40177" TargetMode="External"/><Relationship Id="rId103" Type="http://schemas.openxmlformats.org/officeDocument/2006/relationships/hyperlink" Target="https://crm.ddl.kz/sales/oneClient/41137" TargetMode="External"/><Relationship Id="rId102" Type="http://schemas.openxmlformats.org/officeDocument/2006/relationships/hyperlink" Target="https://crm.ddl.kz/sales/oneClient/26882" TargetMode="External"/><Relationship Id="rId101" Type="http://schemas.openxmlformats.org/officeDocument/2006/relationships/hyperlink" Target="https://crm.ddl.kz/sales/oneClient/46360" TargetMode="External"/><Relationship Id="rId100" Type="http://schemas.openxmlformats.org/officeDocument/2006/relationships/hyperlink" Target="https://crm.ddl.kz/sales/oneClient/63448" TargetMode="External"/><Relationship Id="rId31" Type="http://schemas.openxmlformats.org/officeDocument/2006/relationships/hyperlink" Target="https://crm.ddl.kz/sales/oneClient/40054" TargetMode="External"/><Relationship Id="rId30" Type="http://schemas.openxmlformats.org/officeDocument/2006/relationships/hyperlink" Target="https://crm.ddl.kz/sales/oneClient/55853" TargetMode="External"/><Relationship Id="rId33" Type="http://schemas.openxmlformats.org/officeDocument/2006/relationships/hyperlink" Target="https://crm.ddl.kz/sales/oneClient/65887" TargetMode="External"/><Relationship Id="rId32" Type="http://schemas.openxmlformats.org/officeDocument/2006/relationships/hyperlink" Target="https://crm.ddl.kz/sales/oneClient/42774" TargetMode="External"/><Relationship Id="rId35" Type="http://schemas.openxmlformats.org/officeDocument/2006/relationships/hyperlink" Target="https://crm.ddl.kz/sales/oneClient/41494" TargetMode="External"/><Relationship Id="rId34" Type="http://schemas.openxmlformats.org/officeDocument/2006/relationships/hyperlink" Target="https://crm.ddl.kz/sales/oneClient/26710" TargetMode="External"/><Relationship Id="rId37" Type="http://schemas.openxmlformats.org/officeDocument/2006/relationships/hyperlink" Target="https://crm.ddl.kz/sales/oneClient/42740" TargetMode="External"/><Relationship Id="rId36" Type="http://schemas.openxmlformats.org/officeDocument/2006/relationships/hyperlink" Target="https://crm.ddl.kz/sales/oneClient/42627" TargetMode="External"/><Relationship Id="rId39" Type="http://schemas.openxmlformats.org/officeDocument/2006/relationships/hyperlink" Target="https://crm.ddl.kz/sales/oneClient/29503" TargetMode="External"/><Relationship Id="rId38" Type="http://schemas.openxmlformats.org/officeDocument/2006/relationships/hyperlink" Target="https://crm.ddl.kz/sales/oneClient/47103" TargetMode="External"/><Relationship Id="rId20" Type="http://schemas.openxmlformats.org/officeDocument/2006/relationships/hyperlink" Target="https://crm.ddl.kz/sales/oneClient/40092" TargetMode="External"/><Relationship Id="rId22" Type="http://schemas.openxmlformats.org/officeDocument/2006/relationships/hyperlink" Target="https://crm.ddl.kz/sales/oneClient/65580" TargetMode="External"/><Relationship Id="rId21" Type="http://schemas.openxmlformats.org/officeDocument/2006/relationships/hyperlink" Target="https://crm.ddl.kz/sales/oneClient/42695" TargetMode="External"/><Relationship Id="rId24" Type="http://schemas.openxmlformats.org/officeDocument/2006/relationships/hyperlink" Target="https://crm.ddl.kz/sales/oneClient/41329" TargetMode="External"/><Relationship Id="rId23" Type="http://schemas.openxmlformats.org/officeDocument/2006/relationships/hyperlink" Target="https://crm.ddl.kz/sales/oneClient/65581" TargetMode="External"/><Relationship Id="rId129" Type="http://schemas.openxmlformats.org/officeDocument/2006/relationships/hyperlink" Target="https://crm.ddl.kz/sales/oneClient/42820" TargetMode="External"/><Relationship Id="rId128" Type="http://schemas.openxmlformats.org/officeDocument/2006/relationships/hyperlink" Target="https://crm.ddl.kz/sales/oneClient/43606" TargetMode="External"/><Relationship Id="rId127" Type="http://schemas.openxmlformats.org/officeDocument/2006/relationships/hyperlink" Target="https://crm.ddl.kz/sales/oneClient/43542" TargetMode="External"/><Relationship Id="rId126" Type="http://schemas.openxmlformats.org/officeDocument/2006/relationships/hyperlink" Target="https://crm.ddl.kz/sales/oneClient/43525" TargetMode="External"/><Relationship Id="rId26" Type="http://schemas.openxmlformats.org/officeDocument/2006/relationships/hyperlink" Target="https://crm.ddl.kz/sales/oneClient/48723" TargetMode="External"/><Relationship Id="rId121" Type="http://schemas.openxmlformats.org/officeDocument/2006/relationships/hyperlink" Target="https://crm.ddl.kz/sales/oneClient/66810" TargetMode="External"/><Relationship Id="rId25" Type="http://schemas.openxmlformats.org/officeDocument/2006/relationships/hyperlink" Target="https://crm.ddl.kz/sales/oneClient/47600" TargetMode="External"/><Relationship Id="rId120" Type="http://schemas.openxmlformats.org/officeDocument/2006/relationships/hyperlink" Target="https://crm.ddl.kz/sales/oneClient/63598" TargetMode="External"/><Relationship Id="rId28" Type="http://schemas.openxmlformats.org/officeDocument/2006/relationships/hyperlink" Target="https://crm.ddl.kz/sales/oneClient/50520" TargetMode="External"/><Relationship Id="rId27" Type="http://schemas.openxmlformats.org/officeDocument/2006/relationships/hyperlink" Target="https://crm.ddl.kz/sales/oneClient/47569" TargetMode="External"/><Relationship Id="rId125" Type="http://schemas.openxmlformats.org/officeDocument/2006/relationships/hyperlink" Target="https://crm.ddl.kz/sales/oneClient/42336" TargetMode="External"/><Relationship Id="rId29" Type="http://schemas.openxmlformats.org/officeDocument/2006/relationships/hyperlink" Target="https://crm.ddl.kz/sales/oneClient/44500" TargetMode="External"/><Relationship Id="rId124" Type="http://schemas.openxmlformats.org/officeDocument/2006/relationships/hyperlink" Target="https://crm.ddl.kz/sales/oneClient/43447" TargetMode="External"/><Relationship Id="rId123" Type="http://schemas.openxmlformats.org/officeDocument/2006/relationships/hyperlink" Target="https://crm.ddl.kz/sales/oneClient/43446" TargetMode="External"/><Relationship Id="rId122" Type="http://schemas.openxmlformats.org/officeDocument/2006/relationships/hyperlink" Target="https://crm.ddl.kz/sales/oneClient/43153" TargetMode="External"/><Relationship Id="rId95" Type="http://schemas.openxmlformats.org/officeDocument/2006/relationships/hyperlink" Target="https://crm.ddl.kz/sales/oneClient/60873" TargetMode="External"/><Relationship Id="rId94" Type="http://schemas.openxmlformats.org/officeDocument/2006/relationships/hyperlink" Target="https://crm.ddl.kz/sales/oneClient/63427" TargetMode="External"/><Relationship Id="rId97" Type="http://schemas.openxmlformats.org/officeDocument/2006/relationships/hyperlink" Target="https://crm.ddl.kz/sales/oneClient/61955" TargetMode="External"/><Relationship Id="rId96" Type="http://schemas.openxmlformats.org/officeDocument/2006/relationships/hyperlink" Target="https://crm.ddl.kz/sales/oneClient/66268" TargetMode="External"/><Relationship Id="rId11" Type="http://schemas.openxmlformats.org/officeDocument/2006/relationships/hyperlink" Target="https://crm.ddl.kz/sales/oneClient/55285" TargetMode="External"/><Relationship Id="rId99" Type="http://schemas.openxmlformats.org/officeDocument/2006/relationships/hyperlink" Target="https://crm.ddl.kz/sales/oneClient/63435" TargetMode="External"/><Relationship Id="rId10" Type="http://schemas.openxmlformats.org/officeDocument/2006/relationships/hyperlink" Target="https://crm.ddl.kz/sales/oneClient/42213" TargetMode="External"/><Relationship Id="rId98" Type="http://schemas.openxmlformats.org/officeDocument/2006/relationships/hyperlink" Target="https://crm.ddl.kz/sales/oneClient/42220" TargetMode="External"/><Relationship Id="rId13" Type="http://schemas.openxmlformats.org/officeDocument/2006/relationships/hyperlink" Target="https://crm.ddl.kz/sales/oneClient/53464" TargetMode="External"/><Relationship Id="rId12" Type="http://schemas.openxmlformats.org/officeDocument/2006/relationships/hyperlink" Target="https://crm.ddl.kz/sales/oneClient/65394" TargetMode="External"/><Relationship Id="rId91" Type="http://schemas.openxmlformats.org/officeDocument/2006/relationships/hyperlink" Target="https://crm.ddl.kz/sales/oneClient/53215" TargetMode="External"/><Relationship Id="rId90" Type="http://schemas.openxmlformats.org/officeDocument/2006/relationships/hyperlink" Target="https://crm.ddl.kz/sales/oneClient/42779" TargetMode="External"/><Relationship Id="rId93" Type="http://schemas.openxmlformats.org/officeDocument/2006/relationships/hyperlink" Target="https://crm.ddl.kz/sales/oneClient/63283" TargetMode="External"/><Relationship Id="rId92" Type="http://schemas.openxmlformats.org/officeDocument/2006/relationships/hyperlink" Target="https://crm.ddl.kz/sales/oneClient/63113" TargetMode="External"/><Relationship Id="rId118" Type="http://schemas.openxmlformats.org/officeDocument/2006/relationships/hyperlink" Target="https://crm.ddl.kz/sales/oneClient/21656" TargetMode="External"/><Relationship Id="rId117" Type="http://schemas.openxmlformats.org/officeDocument/2006/relationships/hyperlink" Target="https://crm.ddl.kz/sales/oneClient/42820" TargetMode="External"/><Relationship Id="rId116" Type="http://schemas.openxmlformats.org/officeDocument/2006/relationships/hyperlink" Target="https://crm.ddl.kz/sales/oneClient/43606" TargetMode="External"/><Relationship Id="rId115" Type="http://schemas.openxmlformats.org/officeDocument/2006/relationships/hyperlink" Target="https://crm.ddl.kz/sales/oneClient/43542" TargetMode="External"/><Relationship Id="rId119" Type="http://schemas.openxmlformats.org/officeDocument/2006/relationships/hyperlink" Target="https://crm.ddl.kz/sales/oneClient/61314" TargetMode="External"/><Relationship Id="rId15" Type="http://schemas.openxmlformats.org/officeDocument/2006/relationships/hyperlink" Target="https://crm.ddl.kz/sales/oneClient/39529" TargetMode="External"/><Relationship Id="rId110" Type="http://schemas.openxmlformats.org/officeDocument/2006/relationships/hyperlink" Target="https://crm.ddl.kz/sales/oneClient/43153" TargetMode="External"/><Relationship Id="rId14" Type="http://schemas.openxmlformats.org/officeDocument/2006/relationships/hyperlink" Target="https://crm.ddl.kz/sales/oneClient/62576" TargetMode="External"/><Relationship Id="rId17" Type="http://schemas.openxmlformats.org/officeDocument/2006/relationships/hyperlink" Target="https://crm.ddl.kz/sales/oneClient/65699" TargetMode="External"/><Relationship Id="rId16" Type="http://schemas.openxmlformats.org/officeDocument/2006/relationships/hyperlink" Target="https://crm.ddl.kz/sales/oneClient/65633" TargetMode="External"/><Relationship Id="rId19" Type="http://schemas.openxmlformats.org/officeDocument/2006/relationships/hyperlink" Target="https://crm.ddl.kz/sales/oneClient/65707" TargetMode="External"/><Relationship Id="rId114" Type="http://schemas.openxmlformats.org/officeDocument/2006/relationships/hyperlink" Target="https://crm.ddl.kz/sales/oneClient/43525" TargetMode="External"/><Relationship Id="rId18" Type="http://schemas.openxmlformats.org/officeDocument/2006/relationships/hyperlink" Target="https://crm.ddl.kz/sales/oneClient/65706" TargetMode="External"/><Relationship Id="rId113" Type="http://schemas.openxmlformats.org/officeDocument/2006/relationships/hyperlink" Target="https://crm.ddl.kz/sales/oneClient/42336" TargetMode="External"/><Relationship Id="rId112" Type="http://schemas.openxmlformats.org/officeDocument/2006/relationships/hyperlink" Target="https://crm.ddl.kz/sales/oneClient/43447" TargetMode="External"/><Relationship Id="rId111" Type="http://schemas.openxmlformats.org/officeDocument/2006/relationships/hyperlink" Target="https://crm.ddl.kz/sales/oneClient/43446" TargetMode="External"/><Relationship Id="rId84" Type="http://schemas.openxmlformats.org/officeDocument/2006/relationships/hyperlink" Target="https://crm.ddl.kz/sales/oneClient/30259" TargetMode="External"/><Relationship Id="rId83" Type="http://schemas.openxmlformats.org/officeDocument/2006/relationships/hyperlink" Target="https://crm.ddl.kz/sales/oneClient/43851" TargetMode="External"/><Relationship Id="rId86" Type="http://schemas.openxmlformats.org/officeDocument/2006/relationships/hyperlink" Target="https://crm.ddl.kz/sales/oneClient/43277" TargetMode="External"/><Relationship Id="rId85" Type="http://schemas.openxmlformats.org/officeDocument/2006/relationships/hyperlink" Target="https://crm.ddl.kz/sales/oneClient/42439" TargetMode="External"/><Relationship Id="rId88" Type="http://schemas.openxmlformats.org/officeDocument/2006/relationships/hyperlink" Target="https://crm.ddl.kz/sales/oneClient/56115" TargetMode="External"/><Relationship Id="rId87" Type="http://schemas.openxmlformats.org/officeDocument/2006/relationships/hyperlink" Target="https://crm.ddl.kz/sales/oneClient/43281" TargetMode="External"/><Relationship Id="rId89" Type="http://schemas.openxmlformats.org/officeDocument/2006/relationships/hyperlink" Target="https://crm.ddl.kz/sales/oneClient/58467" TargetMode="External"/><Relationship Id="rId80" Type="http://schemas.openxmlformats.org/officeDocument/2006/relationships/hyperlink" Target="https://crm.ddl.kz/sales/oneClient/29125" TargetMode="External"/><Relationship Id="rId82" Type="http://schemas.openxmlformats.org/officeDocument/2006/relationships/hyperlink" Target="https://crm.ddl.kz/sales/oneClient/4695" TargetMode="External"/><Relationship Id="rId81" Type="http://schemas.openxmlformats.org/officeDocument/2006/relationships/hyperlink" Target="https://crm.ddl.kz/sales/oneClient/56614" TargetMode="External"/><Relationship Id="rId1" Type="http://schemas.openxmlformats.org/officeDocument/2006/relationships/hyperlink" Target="https://crm.ddl.kz/sales/oneClient/58550" TargetMode="External"/><Relationship Id="rId2" Type="http://schemas.openxmlformats.org/officeDocument/2006/relationships/hyperlink" Target="https://crm.ddl.kz/sales/oneClient/41304" TargetMode="External"/><Relationship Id="rId3" Type="http://schemas.openxmlformats.org/officeDocument/2006/relationships/hyperlink" Target="https://crm.ddl.kz/sales/oneClient/53899" TargetMode="External"/><Relationship Id="rId4" Type="http://schemas.openxmlformats.org/officeDocument/2006/relationships/hyperlink" Target="https://crm.ddl.kz/sales/oneClient/52936" TargetMode="External"/><Relationship Id="rId9" Type="http://schemas.openxmlformats.org/officeDocument/2006/relationships/hyperlink" Target="https://crm.ddl.kz/sales/oneClient/42010" TargetMode="External"/><Relationship Id="rId5" Type="http://schemas.openxmlformats.org/officeDocument/2006/relationships/hyperlink" Target="https://crm.ddl.kz/sales/oneClient/55192" TargetMode="External"/><Relationship Id="rId6" Type="http://schemas.openxmlformats.org/officeDocument/2006/relationships/hyperlink" Target="https://crm.ddl.kz/sales/oneClient/65576" TargetMode="External"/><Relationship Id="rId7" Type="http://schemas.openxmlformats.org/officeDocument/2006/relationships/hyperlink" Target="https://crm.ddl.kz/sales/oneClient/26681" TargetMode="External"/><Relationship Id="rId8" Type="http://schemas.openxmlformats.org/officeDocument/2006/relationships/hyperlink" Target="https://crm.ddl.kz/sales/oneClient/42312" TargetMode="External"/><Relationship Id="rId73" Type="http://schemas.openxmlformats.org/officeDocument/2006/relationships/hyperlink" Target="https://crm.ddl.kz/sales/oneClient/39359" TargetMode="External"/><Relationship Id="rId72" Type="http://schemas.openxmlformats.org/officeDocument/2006/relationships/hyperlink" Target="https://crm.ddl.kz/sales/oneClient/66326" TargetMode="External"/><Relationship Id="rId75" Type="http://schemas.openxmlformats.org/officeDocument/2006/relationships/hyperlink" Target="https://crm.ddl.kz/sales/oneClient/42862" TargetMode="External"/><Relationship Id="rId74" Type="http://schemas.openxmlformats.org/officeDocument/2006/relationships/hyperlink" Target="https://crm.ddl.kz/sales/oneClient/2169" TargetMode="External"/><Relationship Id="rId77" Type="http://schemas.openxmlformats.org/officeDocument/2006/relationships/hyperlink" Target="https://crm.ddl.kz/sales/oneClient/42422" TargetMode="External"/><Relationship Id="rId76" Type="http://schemas.openxmlformats.org/officeDocument/2006/relationships/hyperlink" Target="https://crm.ddl.kz/sales/oneClient/43073" TargetMode="External"/><Relationship Id="rId79" Type="http://schemas.openxmlformats.org/officeDocument/2006/relationships/hyperlink" Target="https://crm.ddl.kz/sales/oneClient/34190" TargetMode="External"/><Relationship Id="rId78" Type="http://schemas.openxmlformats.org/officeDocument/2006/relationships/hyperlink" Target="https://crm.ddl.kz/sales/oneClient/28074" TargetMode="External"/><Relationship Id="rId71" Type="http://schemas.openxmlformats.org/officeDocument/2006/relationships/hyperlink" Target="https://crm.ddl.kz/sales/oneClient/57741" TargetMode="External"/><Relationship Id="rId70" Type="http://schemas.openxmlformats.org/officeDocument/2006/relationships/hyperlink" Target="https://crm.ddl.kz/sales/oneClient/55921" TargetMode="External"/><Relationship Id="rId132" Type="http://schemas.openxmlformats.org/officeDocument/2006/relationships/hyperlink" Target="https://crm.ddl.kz/sales/oneClient/64919" TargetMode="External"/><Relationship Id="rId131" Type="http://schemas.openxmlformats.org/officeDocument/2006/relationships/hyperlink" Target="https://crm.ddl.kz/sales/oneClient/61314" TargetMode="External"/><Relationship Id="rId130" Type="http://schemas.openxmlformats.org/officeDocument/2006/relationships/hyperlink" Target="https://crm.ddl.kz/sales/oneClient/21656" TargetMode="External"/><Relationship Id="rId133" Type="http://schemas.openxmlformats.org/officeDocument/2006/relationships/drawing" Target="../drawings/drawing1.xml"/><Relationship Id="rId62" Type="http://schemas.openxmlformats.org/officeDocument/2006/relationships/hyperlink" Target="https://crm.ddl.kz/sales/oneClient/42982" TargetMode="External"/><Relationship Id="rId61" Type="http://schemas.openxmlformats.org/officeDocument/2006/relationships/hyperlink" Target="https://crm.ddl.kz/sales/oneClient/41556" TargetMode="External"/><Relationship Id="rId64" Type="http://schemas.openxmlformats.org/officeDocument/2006/relationships/hyperlink" Target="https://crm.ddl.kz/sales/oneClient/40489" TargetMode="External"/><Relationship Id="rId63" Type="http://schemas.openxmlformats.org/officeDocument/2006/relationships/hyperlink" Target="https://crm.ddl.kz/sales/oneClient/36296" TargetMode="External"/><Relationship Id="rId66" Type="http://schemas.openxmlformats.org/officeDocument/2006/relationships/hyperlink" Target="https://crm.ddl.kz/sales/oneClient/53358" TargetMode="External"/><Relationship Id="rId65" Type="http://schemas.openxmlformats.org/officeDocument/2006/relationships/hyperlink" Target="https://crm.ddl.kz/sales/oneClient/56129" TargetMode="External"/><Relationship Id="rId68" Type="http://schemas.openxmlformats.org/officeDocument/2006/relationships/hyperlink" Target="https://crm.ddl.kz/sales/oneClient/66343" TargetMode="External"/><Relationship Id="rId67" Type="http://schemas.openxmlformats.org/officeDocument/2006/relationships/hyperlink" Target="https://crm.ddl.kz/sales/oneClient/66140" TargetMode="External"/><Relationship Id="rId60" Type="http://schemas.openxmlformats.org/officeDocument/2006/relationships/hyperlink" Target="https://crm.ddl.kz/sales/oneClient/34425" TargetMode="External"/><Relationship Id="rId69" Type="http://schemas.openxmlformats.org/officeDocument/2006/relationships/hyperlink" Target="https://crm.ddl.kz/sales/oneClient/38649" TargetMode="External"/><Relationship Id="rId51" Type="http://schemas.openxmlformats.org/officeDocument/2006/relationships/hyperlink" Target="https://crm.ddl.kz/sales/oneClient/58550" TargetMode="External"/><Relationship Id="rId50" Type="http://schemas.openxmlformats.org/officeDocument/2006/relationships/hyperlink" Target="https://crm.ddl.kz/sales/oneClient/62642" TargetMode="External"/><Relationship Id="rId53" Type="http://schemas.openxmlformats.org/officeDocument/2006/relationships/hyperlink" Target="https://crm.ddl.kz/sales/oneClient/42258" TargetMode="External"/><Relationship Id="rId52" Type="http://schemas.openxmlformats.org/officeDocument/2006/relationships/hyperlink" Target="https://crm.ddl.kz/sales/oneClient/41685" TargetMode="External"/><Relationship Id="rId55" Type="http://schemas.openxmlformats.org/officeDocument/2006/relationships/hyperlink" Target="https://crm.ddl.kz/sales/oneClient/41533" TargetMode="External"/><Relationship Id="rId54" Type="http://schemas.openxmlformats.org/officeDocument/2006/relationships/hyperlink" Target="https://crm.ddl.kz/sales/oneClient/42739" TargetMode="External"/><Relationship Id="rId57" Type="http://schemas.openxmlformats.org/officeDocument/2006/relationships/hyperlink" Target="https://crm.ddl.kz/sales/oneClient/62540" TargetMode="External"/><Relationship Id="rId56" Type="http://schemas.openxmlformats.org/officeDocument/2006/relationships/hyperlink" Target="https://crm.ddl.kz/sales/oneClient/43075" TargetMode="External"/><Relationship Id="rId59" Type="http://schemas.openxmlformats.org/officeDocument/2006/relationships/hyperlink" Target="https://crm.ddl.kz/sales/oneClient/40982" TargetMode="External"/><Relationship Id="rId58" Type="http://schemas.openxmlformats.org/officeDocument/2006/relationships/hyperlink" Target="https://crm.ddl.kz/sales/oneClient/403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3.75"/>
    <col customWidth="1" min="3" max="3" width="18.0"/>
    <col customWidth="1" min="4" max="4" width="16.0"/>
    <col customWidth="1" min="5" max="5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ht="21.75" customHeight="1">
      <c r="A2" s="4">
        <v>1.0</v>
      </c>
      <c r="B2" s="5" t="s">
        <v>6</v>
      </c>
      <c r="C2" s="6" t="s">
        <v>7</v>
      </c>
      <c r="D2" s="7" t="s">
        <v>8</v>
      </c>
      <c r="E2" s="8">
        <f>+77765160202</f>
        <v>77765160202</v>
      </c>
      <c r="F2" s="9" t="s">
        <v>9</v>
      </c>
    </row>
    <row r="3" ht="21.75" customHeight="1">
      <c r="A3" s="4">
        <v>2.0</v>
      </c>
      <c r="B3" s="5" t="s">
        <v>10</v>
      </c>
      <c r="C3" s="6" t="s">
        <v>7</v>
      </c>
      <c r="D3" s="7" t="s">
        <v>8</v>
      </c>
      <c r="E3" s="8">
        <f>+77470476103</f>
        <v>77470476103</v>
      </c>
      <c r="F3" s="9" t="s">
        <v>11</v>
      </c>
    </row>
    <row r="4" ht="21.75" customHeight="1">
      <c r="A4" s="4">
        <v>3.0</v>
      </c>
      <c r="B4" s="5" t="s">
        <v>12</v>
      </c>
      <c r="C4" s="10" t="s">
        <v>13</v>
      </c>
      <c r="D4" s="11" t="s">
        <v>14</v>
      </c>
      <c r="E4" s="8">
        <f>+77779898777</f>
        <v>77779898777</v>
      </c>
      <c r="F4" s="9" t="s">
        <v>15</v>
      </c>
    </row>
    <row r="5" ht="21.75" customHeight="1">
      <c r="A5" s="4">
        <v>4.0</v>
      </c>
      <c r="B5" s="5" t="s">
        <v>16</v>
      </c>
      <c r="C5" s="10" t="s">
        <v>13</v>
      </c>
      <c r="D5" s="11" t="s">
        <v>14</v>
      </c>
      <c r="E5" s="8">
        <f>+77052771780</f>
        <v>77052771780</v>
      </c>
      <c r="F5" s="9" t="s">
        <v>17</v>
      </c>
    </row>
    <row r="6" ht="21.75" customHeight="1">
      <c r="A6" s="4">
        <v>5.0</v>
      </c>
      <c r="B6" s="5" t="s">
        <v>18</v>
      </c>
      <c r="C6" s="6" t="s">
        <v>7</v>
      </c>
      <c r="D6" s="7" t="s">
        <v>8</v>
      </c>
      <c r="E6" s="8">
        <f>+77083137460</f>
        <v>77083137460</v>
      </c>
      <c r="F6" s="9" t="s">
        <v>19</v>
      </c>
    </row>
    <row r="7" ht="21.75" customHeight="1">
      <c r="A7" s="4">
        <v>6.0</v>
      </c>
      <c r="B7" s="5" t="s">
        <v>20</v>
      </c>
      <c r="C7" s="6" t="s">
        <v>7</v>
      </c>
      <c r="D7" s="7" t="s">
        <v>8</v>
      </c>
      <c r="E7" s="8">
        <f>+77471985182</f>
        <v>77471985182</v>
      </c>
      <c r="F7" s="9" t="s">
        <v>21</v>
      </c>
    </row>
    <row r="8" ht="21.75" customHeight="1">
      <c r="A8" s="4">
        <v>7.0</v>
      </c>
      <c r="B8" s="5" t="s">
        <v>22</v>
      </c>
      <c r="C8" s="6" t="s">
        <v>7</v>
      </c>
      <c r="D8" s="7" t="s">
        <v>8</v>
      </c>
      <c r="E8" s="8">
        <f>+77474619323</f>
        <v>77474619323</v>
      </c>
      <c r="F8" s="9" t="s">
        <v>23</v>
      </c>
    </row>
    <row r="9" ht="21.75" customHeight="1">
      <c r="A9" s="4">
        <v>8.0</v>
      </c>
      <c r="B9" s="5" t="s">
        <v>24</v>
      </c>
      <c r="C9" s="6" t="s">
        <v>7</v>
      </c>
      <c r="D9" s="7" t="s">
        <v>8</v>
      </c>
      <c r="E9" s="8">
        <f>+77083708876</f>
        <v>77083708876</v>
      </c>
      <c r="F9" s="9" t="s">
        <v>25</v>
      </c>
    </row>
    <row r="10" ht="21.75" customHeight="1">
      <c r="A10" s="4">
        <v>9.0</v>
      </c>
      <c r="B10" s="5" t="s">
        <v>26</v>
      </c>
      <c r="C10" s="6" t="s">
        <v>7</v>
      </c>
      <c r="D10" s="7" t="s">
        <v>8</v>
      </c>
      <c r="E10" s="8">
        <f>+77773024444</f>
        <v>77773024444</v>
      </c>
      <c r="F10" s="9" t="s">
        <v>27</v>
      </c>
    </row>
    <row r="11" ht="21.75" customHeight="1">
      <c r="A11" s="4">
        <v>10.0</v>
      </c>
      <c r="B11" s="5" t="s">
        <v>28</v>
      </c>
      <c r="C11" s="12" t="s">
        <v>29</v>
      </c>
      <c r="D11" s="13" t="s">
        <v>30</v>
      </c>
      <c r="E11" s="8">
        <f>+77053190939</f>
        <v>77053190939</v>
      </c>
      <c r="F11" s="9" t="s">
        <v>31</v>
      </c>
    </row>
    <row r="12" ht="21.75" customHeight="1">
      <c r="A12" s="4">
        <v>11.0</v>
      </c>
      <c r="B12" s="5" t="s">
        <v>32</v>
      </c>
      <c r="C12" s="10" t="s">
        <v>13</v>
      </c>
      <c r="D12" s="11" t="s">
        <v>14</v>
      </c>
      <c r="E12" s="8">
        <f>+77054646563</f>
        <v>77054646563</v>
      </c>
      <c r="F12" s="9" t="s">
        <v>33</v>
      </c>
    </row>
    <row r="13" ht="21.75" customHeight="1">
      <c r="A13" s="4">
        <v>12.0</v>
      </c>
      <c r="B13" s="5" t="s">
        <v>34</v>
      </c>
      <c r="C13" s="10" t="s">
        <v>13</v>
      </c>
      <c r="D13" s="11" t="s">
        <v>14</v>
      </c>
      <c r="E13" s="8">
        <f>+77071915820</f>
        <v>77071915820</v>
      </c>
      <c r="F13" s="9" t="s">
        <v>35</v>
      </c>
    </row>
    <row r="14" ht="21.75" customHeight="1">
      <c r="A14" s="4">
        <v>13.0</v>
      </c>
      <c r="B14" s="5" t="s">
        <v>36</v>
      </c>
      <c r="C14" s="10" t="s">
        <v>13</v>
      </c>
      <c r="D14" s="11" t="s">
        <v>14</v>
      </c>
      <c r="E14" s="8">
        <f>+77026964999</f>
        <v>77026964999</v>
      </c>
      <c r="F14" s="9" t="s">
        <v>37</v>
      </c>
    </row>
    <row r="15" ht="21.75" customHeight="1">
      <c r="A15" s="4">
        <v>14.0</v>
      </c>
      <c r="B15" s="5" t="s">
        <v>38</v>
      </c>
      <c r="C15" s="10" t="s">
        <v>13</v>
      </c>
      <c r="D15" s="11" t="s">
        <v>14</v>
      </c>
      <c r="E15" s="8">
        <f>+77022020297</f>
        <v>77022020297</v>
      </c>
      <c r="F15" s="9" t="s">
        <v>39</v>
      </c>
    </row>
    <row r="16" ht="21.75" customHeight="1">
      <c r="A16" s="4">
        <v>15.0</v>
      </c>
      <c r="B16" s="5" t="s">
        <v>40</v>
      </c>
      <c r="C16" s="10" t="s">
        <v>13</v>
      </c>
      <c r="D16" s="11" t="s">
        <v>14</v>
      </c>
      <c r="E16" s="8">
        <f>+77478997515</f>
        <v>77478997515</v>
      </c>
      <c r="F16" s="9" t="s">
        <v>41</v>
      </c>
    </row>
    <row r="17" ht="21.75" customHeight="1">
      <c r="A17" s="4">
        <v>16.0</v>
      </c>
      <c r="B17" s="5" t="s">
        <v>42</v>
      </c>
      <c r="C17" s="6" t="s">
        <v>7</v>
      </c>
      <c r="D17" s="7" t="s">
        <v>8</v>
      </c>
      <c r="E17" s="8">
        <f>+77762282822</f>
        <v>77762282822</v>
      </c>
      <c r="F17" s="9" t="s">
        <v>43</v>
      </c>
    </row>
    <row r="18" ht="21.75" customHeight="1">
      <c r="A18" s="4">
        <v>17.0</v>
      </c>
      <c r="B18" s="5" t="s">
        <v>44</v>
      </c>
      <c r="C18" s="6" t="s">
        <v>7</v>
      </c>
      <c r="D18" s="7" t="s">
        <v>8</v>
      </c>
      <c r="E18" s="8">
        <f>+77773030808</f>
        <v>77773030808</v>
      </c>
      <c r="F18" s="9" t="s">
        <v>45</v>
      </c>
    </row>
    <row r="19" ht="21.75" customHeight="1">
      <c r="A19" s="4">
        <v>18.0</v>
      </c>
      <c r="B19" s="5" t="s">
        <v>46</v>
      </c>
      <c r="C19" s="12" t="s">
        <v>29</v>
      </c>
      <c r="D19" s="13" t="s">
        <v>30</v>
      </c>
      <c r="E19" s="8">
        <f>+77079073144</f>
        <v>77079073144</v>
      </c>
      <c r="F19" s="9" t="s">
        <v>47</v>
      </c>
    </row>
    <row r="20" ht="21.75" customHeight="1">
      <c r="A20" s="4">
        <v>19.0</v>
      </c>
      <c r="B20" s="5" t="s">
        <v>48</v>
      </c>
      <c r="C20" s="10" t="s">
        <v>13</v>
      </c>
      <c r="D20" s="11" t="s">
        <v>14</v>
      </c>
      <c r="E20" s="8">
        <f>+77028368296</f>
        <v>77028368296</v>
      </c>
      <c r="F20" s="9" t="s">
        <v>49</v>
      </c>
    </row>
    <row r="21" ht="21.75" customHeight="1">
      <c r="A21" s="4">
        <v>20.0</v>
      </c>
      <c r="B21" s="5" t="s">
        <v>50</v>
      </c>
      <c r="C21" s="6" t="s">
        <v>7</v>
      </c>
      <c r="D21" s="7" t="s">
        <v>8</v>
      </c>
      <c r="E21" s="8">
        <f>+77081014001</f>
        <v>77081014001</v>
      </c>
      <c r="F21" s="9" t="s">
        <v>51</v>
      </c>
    </row>
    <row r="22" ht="21.75" customHeight="1">
      <c r="A22" s="4">
        <v>21.0</v>
      </c>
      <c r="B22" s="5" t="s">
        <v>52</v>
      </c>
      <c r="C22" s="6" t="s">
        <v>7</v>
      </c>
      <c r="D22" s="7" t="s">
        <v>8</v>
      </c>
      <c r="E22" s="8">
        <f>+77711157755</f>
        <v>77711157755</v>
      </c>
      <c r="F22" s="9" t="s">
        <v>53</v>
      </c>
    </row>
    <row r="23" ht="21.75" customHeight="1">
      <c r="A23" s="4">
        <v>22.0</v>
      </c>
      <c r="B23" s="5" t="s">
        <v>54</v>
      </c>
      <c r="C23" s="6" t="s">
        <v>7</v>
      </c>
      <c r="D23" s="7" t="s">
        <v>8</v>
      </c>
      <c r="E23" s="8">
        <f>+77073337043</f>
        <v>77073337043</v>
      </c>
      <c r="F23" s="9" t="s">
        <v>55</v>
      </c>
    </row>
    <row r="24" ht="21.75" customHeight="1">
      <c r="A24" s="4">
        <v>23.0</v>
      </c>
      <c r="B24" s="5" t="s">
        <v>56</v>
      </c>
      <c r="C24" s="12" t="s">
        <v>29</v>
      </c>
      <c r="D24" s="13" t="s">
        <v>30</v>
      </c>
      <c r="E24" s="8">
        <f>+77756698393</f>
        <v>77756698393</v>
      </c>
      <c r="F24" s="9" t="s">
        <v>57</v>
      </c>
    </row>
    <row r="25" ht="21.75" customHeight="1">
      <c r="A25" s="4">
        <v>24.0</v>
      </c>
      <c r="B25" s="5" t="s">
        <v>58</v>
      </c>
      <c r="C25" s="10" t="s">
        <v>13</v>
      </c>
      <c r="D25" s="11" t="s">
        <v>14</v>
      </c>
      <c r="E25" s="8">
        <f>+77472269219</f>
        <v>77472269219</v>
      </c>
      <c r="F25" s="9" t="s">
        <v>59</v>
      </c>
    </row>
    <row r="26" ht="21.75" customHeight="1">
      <c r="A26" s="4">
        <v>25.0</v>
      </c>
      <c r="B26" s="5" t="s">
        <v>60</v>
      </c>
      <c r="C26" s="12" t="s">
        <v>29</v>
      </c>
      <c r="D26" s="13" t="s">
        <v>30</v>
      </c>
      <c r="E26" s="8">
        <f>+77021110832</f>
        <v>77021110832</v>
      </c>
      <c r="F26" s="9" t="s">
        <v>61</v>
      </c>
    </row>
    <row r="27" ht="21.75" customHeight="1">
      <c r="A27" s="4">
        <v>26.0</v>
      </c>
      <c r="B27" s="5" t="s">
        <v>62</v>
      </c>
      <c r="C27" s="12" t="s">
        <v>29</v>
      </c>
      <c r="D27" s="13" t="s">
        <v>30</v>
      </c>
      <c r="E27" s="8">
        <f>+77477007375</f>
        <v>77477007375</v>
      </c>
      <c r="F27" s="9" t="s">
        <v>63</v>
      </c>
    </row>
    <row r="28" ht="21.75" customHeight="1">
      <c r="A28" s="4">
        <v>27.0</v>
      </c>
      <c r="B28" s="5" t="s">
        <v>64</v>
      </c>
      <c r="C28" s="10" t="s">
        <v>13</v>
      </c>
      <c r="D28" s="11" t="s">
        <v>14</v>
      </c>
      <c r="E28" s="8">
        <f>+77477402039</f>
        <v>77477402039</v>
      </c>
      <c r="F28" s="9" t="s">
        <v>65</v>
      </c>
    </row>
    <row r="29" ht="21.75" customHeight="1">
      <c r="A29" s="4">
        <v>28.0</v>
      </c>
      <c r="B29" s="5" t="s">
        <v>66</v>
      </c>
      <c r="C29" s="10" t="s">
        <v>13</v>
      </c>
      <c r="D29" s="11" t="s">
        <v>14</v>
      </c>
      <c r="E29" s="8">
        <f>+77473088797</f>
        <v>77473088797</v>
      </c>
      <c r="F29" s="9" t="s">
        <v>67</v>
      </c>
    </row>
    <row r="30" ht="21.75" customHeight="1">
      <c r="A30" s="4">
        <v>29.0</v>
      </c>
      <c r="B30" s="5" t="s">
        <v>68</v>
      </c>
      <c r="C30" s="12" t="s">
        <v>29</v>
      </c>
      <c r="D30" s="13" t="s">
        <v>30</v>
      </c>
      <c r="E30" s="8">
        <f>+77760633601</f>
        <v>77760633601</v>
      </c>
      <c r="F30" s="9" t="s">
        <v>69</v>
      </c>
    </row>
    <row r="31" ht="21.75" customHeight="1">
      <c r="A31" s="4">
        <v>30.0</v>
      </c>
      <c r="B31" s="5" t="s">
        <v>70</v>
      </c>
      <c r="C31" s="12" t="s">
        <v>29</v>
      </c>
      <c r="D31" s="13" t="s">
        <v>30</v>
      </c>
      <c r="E31" s="8">
        <f>+77084026109</f>
        <v>77084026109</v>
      </c>
      <c r="F31" s="9" t="s">
        <v>71</v>
      </c>
    </row>
    <row r="32" ht="21.75" customHeight="1">
      <c r="A32" s="4">
        <v>31.0</v>
      </c>
      <c r="B32" s="5" t="s">
        <v>72</v>
      </c>
      <c r="C32" s="6" t="s">
        <v>7</v>
      </c>
      <c r="D32" s="7" t="s">
        <v>8</v>
      </c>
      <c r="E32" s="8">
        <f>+77080412985</f>
        <v>77080412985</v>
      </c>
      <c r="F32" s="9" t="s">
        <v>73</v>
      </c>
    </row>
    <row r="33" ht="21.75" customHeight="1">
      <c r="A33" s="4">
        <v>32.0</v>
      </c>
      <c r="B33" s="5" t="s">
        <v>74</v>
      </c>
      <c r="C33" s="10" t="s">
        <v>13</v>
      </c>
      <c r="D33" s="11" t="s">
        <v>14</v>
      </c>
      <c r="E33" s="8">
        <f>+77780301205</f>
        <v>77780301205</v>
      </c>
      <c r="F33" s="9" t="s">
        <v>75</v>
      </c>
    </row>
    <row r="34" ht="21.75" customHeight="1">
      <c r="A34" s="4">
        <v>33.0</v>
      </c>
      <c r="B34" s="5" t="s">
        <v>76</v>
      </c>
      <c r="C34" s="6" t="s">
        <v>7</v>
      </c>
      <c r="D34" s="7" t="s">
        <v>8</v>
      </c>
      <c r="E34" s="8">
        <f>+77757030177</f>
        <v>77757030177</v>
      </c>
      <c r="F34" s="9" t="s">
        <v>77</v>
      </c>
    </row>
    <row r="35" ht="21.75" customHeight="1">
      <c r="A35" s="4">
        <v>34.0</v>
      </c>
      <c r="B35" s="5" t="s">
        <v>78</v>
      </c>
      <c r="C35" s="12" t="s">
        <v>29</v>
      </c>
      <c r="D35" s="13" t="s">
        <v>30</v>
      </c>
      <c r="E35" s="8">
        <f>+77052811273</f>
        <v>77052811273</v>
      </c>
      <c r="F35" s="9" t="s">
        <v>79</v>
      </c>
    </row>
    <row r="36" ht="21.75" customHeight="1">
      <c r="A36" s="4">
        <v>35.0</v>
      </c>
      <c r="B36" s="5" t="s">
        <v>80</v>
      </c>
      <c r="C36" s="12" t="s">
        <v>29</v>
      </c>
      <c r="D36" s="13" t="s">
        <v>30</v>
      </c>
      <c r="E36" s="8">
        <f>+77751218105</f>
        <v>77751218105</v>
      </c>
      <c r="F36" s="9" t="s">
        <v>81</v>
      </c>
    </row>
    <row r="37" ht="21.75" customHeight="1">
      <c r="A37" s="4">
        <v>36.0</v>
      </c>
      <c r="B37" s="5" t="s">
        <v>82</v>
      </c>
      <c r="C37" s="6" t="s">
        <v>7</v>
      </c>
      <c r="D37" s="7" t="s">
        <v>8</v>
      </c>
      <c r="E37" s="8">
        <f>+77717466370</f>
        <v>77717466370</v>
      </c>
      <c r="F37" s="9" t="s">
        <v>83</v>
      </c>
    </row>
    <row r="38" ht="21.75" customHeight="1">
      <c r="A38" s="4">
        <v>37.0</v>
      </c>
      <c r="B38" s="5" t="s">
        <v>84</v>
      </c>
      <c r="C38" s="10" t="s">
        <v>13</v>
      </c>
      <c r="D38" s="11" t="s">
        <v>14</v>
      </c>
      <c r="E38" s="8">
        <f>+77076669857</f>
        <v>77076669857</v>
      </c>
      <c r="F38" s="9" t="s">
        <v>85</v>
      </c>
      <c r="H38" s="14" t="s">
        <v>86</v>
      </c>
    </row>
    <row r="39" ht="21.75" customHeight="1">
      <c r="A39" s="4">
        <v>38.0</v>
      </c>
      <c r="B39" s="5" t="s">
        <v>87</v>
      </c>
      <c r="C39" s="12" t="s">
        <v>29</v>
      </c>
      <c r="D39" s="13" t="s">
        <v>30</v>
      </c>
      <c r="E39" s="8">
        <f>+77779992046</f>
        <v>77779992046</v>
      </c>
      <c r="F39" s="9" t="s">
        <v>88</v>
      </c>
    </row>
    <row r="40" ht="21.75" customHeight="1">
      <c r="A40" s="4">
        <v>39.0</v>
      </c>
      <c r="B40" s="5" t="s">
        <v>89</v>
      </c>
      <c r="C40" s="10" t="s">
        <v>13</v>
      </c>
      <c r="D40" s="11" t="s">
        <v>14</v>
      </c>
      <c r="E40" s="8">
        <f>+77057434978</f>
        <v>77057434978</v>
      </c>
      <c r="F40" s="9" t="s">
        <v>90</v>
      </c>
    </row>
    <row r="41" ht="21.75" customHeight="1">
      <c r="A41" s="4">
        <v>40.0</v>
      </c>
      <c r="B41" s="5" t="s">
        <v>91</v>
      </c>
      <c r="C41" s="6" t="s">
        <v>7</v>
      </c>
      <c r="D41" s="7" t="s">
        <v>8</v>
      </c>
      <c r="E41" s="8">
        <f>+77056529783</f>
        <v>77056529783</v>
      </c>
      <c r="F41" s="9" t="s">
        <v>92</v>
      </c>
    </row>
    <row r="42" ht="21.75" customHeight="1">
      <c r="A42" s="4">
        <v>41.0</v>
      </c>
      <c r="B42" s="5" t="s">
        <v>93</v>
      </c>
      <c r="C42" s="10" t="s">
        <v>13</v>
      </c>
      <c r="D42" s="11" t="s">
        <v>14</v>
      </c>
      <c r="E42" s="8">
        <f>+77027172903</f>
        <v>77027172903</v>
      </c>
      <c r="F42" s="9" t="s">
        <v>94</v>
      </c>
    </row>
    <row r="43" ht="21.75" customHeight="1">
      <c r="A43" s="4">
        <v>42.0</v>
      </c>
      <c r="B43" s="5" t="s">
        <v>95</v>
      </c>
      <c r="C43" s="12" t="s">
        <v>29</v>
      </c>
      <c r="D43" s="13" t="s">
        <v>30</v>
      </c>
      <c r="E43" s="8">
        <f>+77024091058</f>
        <v>77024091058</v>
      </c>
      <c r="F43" s="9" t="s">
        <v>96</v>
      </c>
    </row>
    <row r="44" ht="21.75" customHeight="1">
      <c r="A44" s="4">
        <v>43.0</v>
      </c>
      <c r="B44" s="5" t="s">
        <v>97</v>
      </c>
      <c r="C44" s="12" t="s">
        <v>29</v>
      </c>
      <c r="D44" s="13" t="s">
        <v>30</v>
      </c>
      <c r="E44" s="8">
        <f>+77073195198</f>
        <v>77073195198</v>
      </c>
      <c r="F44" s="9" t="s">
        <v>98</v>
      </c>
    </row>
    <row r="45" ht="21.75" customHeight="1">
      <c r="A45" s="4">
        <v>44.0</v>
      </c>
      <c r="B45" s="5" t="s">
        <v>99</v>
      </c>
      <c r="C45" s="6" t="s">
        <v>7</v>
      </c>
      <c r="D45" s="7" t="s">
        <v>8</v>
      </c>
      <c r="E45" s="8">
        <f>+77475114971</f>
        <v>77475114971</v>
      </c>
      <c r="F45" s="9" t="s">
        <v>100</v>
      </c>
    </row>
    <row r="46" ht="21.75" customHeight="1">
      <c r="A46" s="4">
        <v>45.0</v>
      </c>
      <c r="B46" s="5" t="s">
        <v>101</v>
      </c>
      <c r="C46" s="12" t="s">
        <v>29</v>
      </c>
      <c r="D46" s="13" t="s">
        <v>30</v>
      </c>
      <c r="E46" s="8">
        <f>+77016294036</f>
        <v>77016294036</v>
      </c>
      <c r="F46" s="9" t="s">
        <v>102</v>
      </c>
    </row>
    <row r="47" ht="21.75" customHeight="1">
      <c r="A47" s="4">
        <v>46.0</v>
      </c>
      <c r="B47" s="5" t="s">
        <v>103</v>
      </c>
      <c r="C47" s="6" t="s">
        <v>7</v>
      </c>
      <c r="D47" s="7" t="s">
        <v>8</v>
      </c>
      <c r="E47" s="8">
        <f>+77059681936</f>
        <v>77059681936</v>
      </c>
      <c r="F47" s="9" t="s">
        <v>104</v>
      </c>
    </row>
    <row r="48" ht="21.75" customHeight="1">
      <c r="A48" s="4">
        <v>47.0</v>
      </c>
      <c r="B48" s="5" t="s">
        <v>105</v>
      </c>
      <c r="C48" s="10" t="s">
        <v>13</v>
      </c>
      <c r="D48" s="11" t="s">
        <v>14</v>
      </c>
      <c r="E48" s="8">
        <f>+77717857797</f>
        <v>77717857797</v>
      </c>
      <c r="F48" s="9" t="s">
        <v>106</v>
      </c>
    </row>
    <row r="49" ht="21.75" customHeight="1">
      <c r="A49" s="4">
        <v>48.0</v>
      </c>
      <c r="B49" s="5" t="s">
        <v>107</v>
      </c>
      <c r="C49" s="12" t="s">
        <v>29</v>
      </c>
      <c r="D49" s="13" t="s">
        <v>30</v>
      </c>
      <c r="E49" s="8">
        <f>+77017876969</f>
        <v>77017876969</v>
      </c>
      <c r="F49" s="9" t="s">
        <v>108</v>
      </c>
    </row>
    <row r="50" ht="21.75" customHeight="1">
      <c r="A50" s="4">
        <v>49.0</v>
      </c>
      <c r="B50" s="5" t="s">
        <v>109</v>
      </c>
      <c r="C50" s="10" t="s">
        <v>13</v>
      </c>
      <c r="D50" s="11" t="s">
        <v>14</v>
      </c>
      <c r="E50" s="8">
        <f>+77760063896</f>
        <v>77760063896</v>
      </c>
      <c r="F50" s="9" t="s">
        <v>110</v>
      </c>
    </row>
    <row r="51" ht="21.75" customHeight="1">
      <c r="A51" s="4">
        <v>50.0</v>
      </c>
      <c r="B51" s="5" t="s">
        <v>111</v>
      </c>
      <c r="C51" s="10" t="s">
        <v>13</v>
      </c>
      <c r="D51" s="11" t="s">
        <v>14</v>
      </c>
      <c r="E51" s="8">
        <f>+77017931958</f>
        <v>77017931958</v>
      </c>
      <c r="F51" s="9" t="s">
        <v>112</v>
      </c>
    </row>
    <row r="52" ht="21.75" customHeight="1">
      <c r="A52" s="4">
        <v>51.0</v>
      </c>
      <c r="B52" s="5" t="s">
        <v>113</v>
      </c>
      <c r="C52" s="12" t="s">
        <v>29</v>
      </c>
      <c r="D52" s="13" t="s">
        <v>30</v>
      </c>
      <c r="E52" s="8">
        <f>+77054597734</f>
        <v>77054597734</v>
      </c>
      <c r="F52" s="9" t="s">
        <v>114</v>
      </c>
    </row>
    <row r="53" ht="21.75" customHeight="1">
      <c r="A53" s="4">
        <v>52.0</v>
      </c>
      <c r="B53" s="5" t="s">
        <v>115</v>
      </c>
      <c r="C53" s="6" t="s">
        <v>7</v>
      </c>
      <c r="D53" s="7" t="s">
        <v>8</v>
      </c>
      <c r="E53" s="8">
        <f>+77051930124</f>
        <v>77051930124</v>
      </c>
      <c r="F53" s="9" t="s">
        <v>116</v>
      </c>
    </row>
    <row r="54" ht="21.75" customHeight="1">
      <c r="A54" s="4">
        <v>53.0</v>
      </c>
      <c r="B54" s="5" t="s">
        <v>117</v>
      </c>
      <c r="C54" s="12" t="s">
        <v>29</v>
      </c>
      <c r="D54" s="13" t="s">
        <v>30</v>
      </c>
      <c r="E54" s="8">
        <f>+77766207282</f>
        <v>77766207282</v>
      </c>
      <c r="F54" s="9" t="s">
        <v>118</v>
      </c>
    </row>
    <row r="55" ht="21.75" customHeight="1">
      <c r="A55" s="4">
        <v>54.0</v>
      </c>
      <c r="B55" s="5" t="s">
        <v>119</v>
      </c>
      <c r="C55" s="6" t="s">
        <v>7</v>
      </c>
      <c r="D55" s="7" t="s">
        <v>8</v>
      </c>
      <c r="E55" s="8">
        <f>+77474028892</f>
        <v>77474028892</v>
      </c>
      <c r="F55" s="9" t="s">
        <v>120</v>
      </c>
    </row>
    <row r="56" ht="21.75" customHeight="1">
      <c r="A56" s="4">
        <v>55.0</v>
      </c>
      <c r="B56" s="5" t="s">
        <v>121</v>
      </c>
      <c r="C56" s="12" t="s">
        <v>29</v>
      </c>
      <c r="D56" s="13" t="s">
        <v>30</v>
      </c>
      <c r="E56" s="8">
        <f>+77071102325</f>
        <v>77071102325</v>
      </c>
      <c r="F56" s="9" t="s">
        <v>122</v>
      </c>
    </row>
    <row r="57" ht="21.75" customHeight="1">
      <c r="A57" s="4">
        <v>56.0</v>
      </c>
      <c r="B57" s="5" t="s">
        <v>123</v>
      </c>
      <c r="C57" s="6" t="s">
        <v>7</v>
      </c>
      <c r="D57" s="7" t="s">
        <v>8</v>
      </c>
      <c r="E57" s="8">
        <f>+77066671569</f>
        <v>77066671569</v>
      </c>
      <c r="F57" s="9" t="s">
        <v>124</v>
      </c>
    </row>
    <row r="58" ht="21.75" customHeight="1">
      <c r="A58" s="4">
        <v>57.0</v>
      </c>
      <c r="B58" s="5" t="s">
        <v>125</v>
      </c>
      <c r="C58" s="6" t="s">
        <v>7</v>
      </c>
      <c r="D58" s="7" t="s">
        <v>8</v>
      </c>
      <c r="E58" s="8">
        <f>+77018660856</f>
        <v>77018660856</v>
      </c>
      <c r="F58" s="9" t="s">
        <v>126</v>
      </c>
    </row>
    <row r="59" ht="21.75" customHeight="1">
      <c r="A59" s="4">
        <v>58.0</v>
      </c>
      <c r="B59" s="5" t="s">
        <v>127</v>
      </c>
      <c r="C59" s="6" t="s">
        <v>7</v>
      </c>
      <c r="D59" s="7" t="s">
        <v>8</v>
      </c>
      <c r="E59" s="8">
        <f>+77781114446</f>
        <v>77781114446</v>
      </c>
      <c r="F59" s="9" t="s">
        <v>128</v>
      </c>
    </row>
    <row r="60" ht="21.75" customHeight="1">
      <c r="A60" s="4">
        <v>59.0</v>
      </c>
      <c r="B60" s="5" t="s">
        <v>129</v>
      </c>
      <c r="C60" s="10" t="s">
        <v>13</v>
      </c>
      <c r="D60" s="11" t="s">
        <v>14</v>
      </c>
      <c r="E60" s="8">
        <f>+77479193929</f>
        <v>77479193929</v>
      </c>
      <c r="F60" s="9" t="s">
        <v>130</v>
      </c>
    </row>
    <row r="61" ht="21.75" customHeight="1">
      <c r="A61" s="4">
        <v>60.0</v>
      </c>
      <c r="B61" s="5" t="s">
        <v>131</v>
      </c>
      <c r="C61" s="10" t="s">
        <v>13</v>
      </c>
      <c r="D61" s="11" t="s">
        <v>14</v>
      </c>
      <c r="E61" s="8">
        <f>+77011454212</f>
        <v>77011454212</v>
      </c>
      <c r="F61" s="9" t="s">
        <v>132</v>
      </c>
    </row>
    <row r="62" ht="21.75" customHeight="1">
      <c r="A62" s="4">
        <v>61.0</v>
      </c>
      <c r="B62" s="5" t="s">
        <v>133</v>
      </c>
      <c r="C62" s="6" t="s">
        <v>7</v>
      </c>
      <c r="D62" s="7" t="s">
        <v>8</v>
      </c>
      <c r="E62" s="8">
        <f>+77477775156</f>
        <v>77477775156</v>
      </c>
      <c r="F62" s="9" t="s">
        <v>134</v>
      </c>
    </row>
    <row r="63" ht="21.75" customHeight="1">
      <c r="A63" s="4">
        <v>62.0</v>
      </c>
      <c r="B63" s="5" t="s">
        <v>135</v>
      </c>
      <c r="C63" s="10" t="s">
        <v>13</v>
      </c>
      <c r="D63" s="11" t="s">
        <v>14</v>
      </c>
      <c r="E63" s="8">
        <f>+77079508564</f>
        <v>77079508564</v>
      </c>
      <c r="F63" s="9" t="s">
        <v>136</v>
      </c>
    </row>
    <row r="64" ht="21.75" customHeight="1">
      <c r="A64" s="4">
        <v>63.0</v>
      </c>
      <c r="B64" s="5" t="s">
        <v>137</v>
      </c>
      <c r="C64" s="6" t="s">
        <v>7</v>
      </c>
      <c r="D64" s="7" t="s">
        <v>8</v>
      </c>
      <c r="E64" s="8">
        <f>+77779150616</f>
        <v>77779150616</v>
      </c>
      <c r="F64" s="9" t="s">
        <v>138</v>
      </c>
    </row>
    <row r="65" ht="21.75" customHeight="1">
      <c r="A65" s="4">
        <v>64.0</v>
      </c>
      <c r="B65" s="5" t="s">
        <v>139</v>
      </c>
      <c r="C65" s="6" t="s">
        <v>7</v>
      </c>
      <c r="D65" s="7" t="s">
        <v>8</v>
      </c>
      <c r="E65" s="8">
        <f>+77712029299</f>
        <v>77712029299</v>
      </c>
      <c r="F65" s="9" t="s">
        <v>140</v>
      </c>
    </row>
    <row r="66" ht="21.75" customHeight="1">
      <c r="A66" s="4">
        <v>65.0</v>
      </c>
      <c r="B66" s="5" t="s">
        <v>141</v>
      </c>
      <c r="C66" s="6" t="s">
        <v>7</v>
      </c>
      <c r="D66" s="7" t="s">
        <v>8</v>
      </c>
      <c r="E66" s="8">
        <f>+77770500605</f>
        <v>77770500605</v>
      </c>
      <c r="F66" s="9" t="s">
        <v>142</v>
      </c>
    </row>
    <row r="67" ht="21.75" customHeight="1">
      <c r="A67" s="4">
        <v>66.0</v>
      </c>
      <c r="B67" s="5" t="s">
        <v>143</v>
      </c>
      <c r="C67" s="6" t="s">
        <v>7</v>
      </c>
      <c r="D67" s="7" t="s">
        <v>8</v>
      </c>
      <c r="E67" s="8">
        <f>+77753097482</f>
        <v>77753097482</v>
      </c>
      <c r="F67" s="9" t="s">
        <v>144</v>
      </c>
    </row>
    <row r="68" ht="21.75" customHeight="1">
      <c r="A68" s="4">
        <v>67.0</v>
      </c>
      <c r="B68" s="5" t="s">
        <v>145</v>
      </c>
      <c r="C68" s="12" t="s">
        <v>29</v>
      </c>
      <c r="D68" s="13" t="s">
        <v>30</v>
      </c>
      <c r="E68" s="8">
        <f>+77779914609</f>
        <v>77779914609</v>
      </c>
      <c r="F68" s="9" t="s">
        <v>146</v>
      </c>
    </row>
    <row r="69" ht="21.75" customHeight="1">
      <c r="A69" s="4">
        <v>68.0</v>
      </c>
      <c r="B69" s="5" t="s">
        <v>147</v>
      </c>
      <c r="C69" s="6" t="s">
        <v>7</v>
      </c>
      <c r="D69" s="7" t="s">
        <v>8</v>
      </c>
      <c r="E69" s="8">
        <f>+77077087880</f>
        <v>77077087880</v>
      </c>
      <c r="F69" s="9" t="s">
        <v>148</v>
      </c>
    </row>
    <row r="70" ht="21.75" customHeight="1">
      <c r="A70" s="4">
        <v>69.0</v>
      </c>
      <c r="B70" s="5" t="s">
        <v>149</v>
      </c>
      <c r="C70" s="12" t="s">
        <v>29</v>
      </c>
      <c r="D70" s="13" t="s">
        <v>30</v>
      </c>
      <c r="E70" s="8">
        <f>+77057682028</f>
        <v>77057682028</v>
      </c>
      <c r="F70" s="9" t="s">
        <v>150</v>
      </c>
    </row>
    <row r="71" ht="21.75" customHeight="1">
      <c r="A71" s="4">
        <v>70.0</v>
      </c>
      <c r="B71" s="5" t="s">
        <v>151</v>
      </c>
      <c r="C71" s="6" t="s">
        <v>7</v>
      </c>
      <c r="D71" s="7" t="s">
        <v>8</v>
      </c>
      <c r="E71" s="8">
        <f>+77758626013</f>
        <v>77758626013</v>
      </c>
      <c r="F71" s="9" t="s">
        <v>152</v>
      </c>
    </row>
    <row r="72" ht="21.75" customHeight="1">
      <c r="A72" s="4">
        <v>71.0</v>
      </c>
      <c r="B72" s="5" t="s">
        <v>153</v>
      </c>
      <c r="C72" s="12" t="s">
        <v>29</v>
      </c>
      <c r="D72" s="13" t="s">
        <v>30</v>
      </c>
      <c r="E72" s="8">
        <f>+77017989064</f>
        <v>77017989064</v>
      </c>
      <c r="F72" s="9" t="s">
        <v>154</v>
      </c>
    </row>
    <row r="73" ht="21.75" customHeight="1">
      <c r="A73" s="4">
        <v>72.0</v>
      </c>
      <c r="B73" s="5" t="s">
        <v>155</v>
      </c>
      <c r="C73" s="6" t="s">
        <v>7</v>
      </c>
      <c r="D73" s="7" t="s">
        <v>8</v>
      </c>
      <c r="E73" s="8">
        <f>+77758384556</f>
        <v>77758384556</v>
      </c>
      <c r="F73" s="9" t="s">
        <v>156</v>
      </c>
    </row>
    <row r="74" ht="21.75" customHeight="1">
      <c r="A74" s="4">
        <v>73.0</v>
      </c>
      <c r="B74" s="5" t="s">
        <v>157</v>
      </c>
      <c r="C74" s="6" t="s">
        <v>7</v>
      </c>
      <c r="D74" s="7" t="s">
        <v>8</v>
      </c>
      <c r="E74" s="8">
        <f>+77762115586</f>
        <v>77762115586</v>
      </c>
      <c r="F74" s="9" t="s">
        <v>158</v>
      </c>
    </row>
    <row r="75" ht="21.75" customHeight="1">
      <c r="A75" s="4">
        <v>74.0</v>
      </c>
      <c r="B75" s="5" t="s">
        <v>159</v>
      </c>
      <c r="C75" s="12" t="s">
        <v>29</v>
      </c>
      <c r="D75" s="13" t="s">
        <v>30</v>
      </c>
      <c r="E75" s="8">
        <f>+77058005005</f>
        <v>77058005005</v>
      </c>
      <c r="F75" s="9" t="s">
        <v>160</v>
      </c>
    </row>
    <row r="76" ht="21.75" customHeight="1">
      <c r="A76" s="4">
        <v>75.0</v>
      </c>
      <c r="B76" s="5" t="s">
        <v>161</v>
      </c>
      <c r="C76" s="6" t="s">
        <v>7</v>
      </c>
      <c r="D76" s="7" t="s">
        <v>8</v>
      </c>
      <c r="E76" s="8">
        <f>+77762624868</f>
        <v>77762624868</v>
      </c>
      <c r="F76" s="9" t="s">
        <v>162</v>
      </c>
    </row>
    <row r="77" ht="21.75" customHeight="1">
      <c r="A77" s="4">
        <v>76.0</v>
      </c>
      <c r="B77" s="5" t="s">
        <v>163</v>
      </c>
      <c r="C77" s="10" t="s">
        <v>13</v>
      </c>
      <c r="D77" s="11" t="s">
        <v>14</v>
      </c>
      <c r="E77" s="8">
        <f>+77058291697</f>
        <v>77058291697</v>
      </c>
      <c r="F77" s="9" t="s">
        <v>164</v>
      </c>
    </row>
    <row r="78" ht="21.75" customHeight="1">
      <c r="A78" s="4">
        <v>77.0</v>
      </c>
      <c r="B78" s="5" t="s">
        <v>165</v>
      </c>
      <c r="C78" s="6" t="s">
        <v>7</v>
      </c>
      <c r="D78" s="7" t="s">
        <v>8</v>
      </c>
      <c r="E78" s="8">
        <f>+77769182792</f>
        <v>77769182792</v>
      </c>
      <c r="F78" s="9" t="s">
        <v>166</v>
      </c>
    </row>
    <row r="79" ht="21.75" customHeight="1">
      <c r="A79" s="4">
        <v>78.0</v>
      </c>
      <c r="B79" s="5" t="s">
        <v>167</v>
      </c>
      <c r="C79" s="12" t="s">
        <v>29</v>
      </c>
      <c r="D79" s="13" t="s">
        <v>30</v>
      </c>
      <c r="E79" s="8">
        <f>+77786996177</f>
        <v>77786996177</v>
      </c>
      <c r="F79" s="9" t="s">
        <v>168</v>
      </c>
    </row>
    <row r="80" ht="21.75" customHeight="1">
      <c r="A80" s="4">
        <v>79.0</v>
      </c>
      <c r="B80" s="5" t="s">
        <v>169</v>
      </c>
      <c r="C80" s="10" t="s">
        <v>13</v>
      </c>
      <c r="D80" s="11" t="s">
        <v>14</v>
      </c>
      <c r="E80" s="8">
        <f>+77017843424</f>
        <v>77017843424</v>
      </c>
      <c r="F80" s="9" t="s">
        <v>170</v>
      </c>
    </row>
    <row r="81" ht="21.75" customHeight="1">
      <c r="A81" s="4">
        <v>80.0</v>
      </c>
      <c r="B81" s="5" t="s">
        <v>171</v>
      </c>
      <c r="C81" s="12" t="s">
        <v>29</v>
      </c>
      <c r="D81" s="13" t="s">
        <v>30</v>
      </c>
      <c r="E81" s="8">
        <f>+77086934743</f>
        <v>77086934743</v>
      </c>
      <c r="F81" s="9" t="s">
        <v>172</v>
      </c>
    </row>
    <row r="82" ht="21.75" customHeight="1">
      <c r="A82" s="4">
        <v>81.0</v>
      </c>
      <c r="B82" s="5" t="s">
        <v>173</v>
      </c>
      <c r="C82" s="6" t="s">
        <v>7</v>
      </c>
      <c r="D82" s="7" t="s">
        <v>8</v>
      </c>
      <c r="E82" s="8">
        <f>+77072958452</f>
        <v>77072958452</v>
      </c>
      <c r="F82" s="9" t="s">
        <v>174</v>
      </c>
    </row>
    <row r="83" ht="21.75" customHeight="1">
      <c r="A83" s="4">
        <v>82.0</v>
      </c>
      <c r="B83" s="5" t="s">
        <v>175</v>
      </c>
      <c r="C83" s="6" t="s">
        <v>7</v>
      </c>
      <c r="D83" s="7" t="s">
        <v>8</v>
      </c>
      <c r="E83" s="8">
        <f>+77474040308</f>
        <v>77474040308</v>
      </c>
      <c r="F83" s="9" t="s">
        <v>176</v>
      </c>
    </row>
    <row r="84" ht="21.75" customHeight="1">
      <c r="A84" s="4">
        <v>83.0</v>
      </c>
      <c r="B84" s="5" t="s">
        <v>177</v>
      </c>
      <c r="C84" s="6" t="s">
        <v>7</v>
      </c>
      <c r="D84" s="7" t="s">
        <v>8</v>
      </c>
      <c r="E84" s="8">
        <f>+77770079933</f>
        <v>77770079933</v>
      </c>
      <c r="F84" s="9" t="s">
        <v>178</v>
      </c>
    </row>
    <row r="85" ht="21.75" customHeight="1">
      <c r="A85" s="4">
        <v>84.0</v>
      </c>
      <c r="B85" s="5" t="s">
        <v>179</v>
      </c>
      <c r="C85" s="6" t="s">
        <v>7</v>
      </c>
      <c r="D85" s="7" t="s">
        <v>8</v>
      </c>
      <c r="E85" s="8">
        <f>+77778539191</f>
        <v>77778539191</v>
      </c>
      <c r="F85" s="9" t="s">
        <v>180</v>
      </c>
    </row>
    <row r="86" ht="21.75" customHeight="1">
      <c r="A86" s="4">
        <v>85.0</v>
      </c>
      <c r="B86" s="5" t="s">
        <v>181</v>
      </c>
      <c r="C86" s="6" t="s">
        <v>7</v>
      </c>
      <c r="D86" s="7" t="s">
        <v>8</v>
      </c>
      <c r="E86" s="8">
        <f>+77051101175</f>
        <v>77051101175</v>
      </c>
      <c r="F86" s="9" t="s">
        <v>182</v>
      </c>
    </row>
    <row r="87" ht="21.75" customHeight="1">
      <c r="A87" s="4">
        <v>86.0</v>
      </c>
      <c r="B87" s="5" t="s">
        <v>183</v>
      </c>
      <c r="C87" s="6" t="s">
        <v>7</v>
      </c>
      <c r="D87" s="7" t="s">
        <v>8</v>
      </c>
      <c r="E87" s="8">
        <f>+77015502647</f>
        <v>77015502647</v>
      </c>
      <c r="F87" s="9" t="s">
        <v>184</v>
      </c>
    </row>
    <row r="88" ht="21.75" customHeight="1">
      <c r="A88" s="4">
        <v>87.0</v>
      </c>
      <c r="B88" s="5" t="s">
        <v>185</v>
      </c>
      <c r="C88" s="6" t="s">
        <v>7</v>
      </c>
      <c r="D88" s="7" t="s">
        <v>8</v>
      </c>
      <c r="E88" s="8">
        <f>+77767470787</f>
        <v>77767470787</v>
      </c>
      <c r="F88" s="9" t="s">
        <v>186</v>
      </c>
    </row>
    <row r="89" ht="21.75" customHeight="1">
      <c r="A89" s="4">
        <v>88.0</v>
      </c>
      <c r="B89" s="5" t="s">
        <v>187</v>
      </c>
      <c r="C89" s="6" t="s">
        <v>7</v>
      </c>
      <c r="D89" s="7" t="s">
        <v>8</v>
      </c>
      <c r="E89" s="8">
        <f>+77751721488</f>
        <v>77751721488</v>
      </c>
      <c r="F89" s="9" t="s">
        <v>188</v>
      </c>
    </row>
    <row r="90" ht="21.75" customHeight="1">
      <c r="A90" s="4">
        <v>89.0</v>
      </c>
      <c r="B90" s="5" t="s">
        <v>189</v>
      </c>
      <c r="C90" s="12" t="s">
        <v>29</v>
      </c>
      <c r="D90" s="13" t="s">
        <v>30</v>
      </c>
      <c r="E90" s="8">
        <f>+77789669415</f>
        <v>77789669415</v>
      </c>
      <c r="F90" s="9" t="s">
        <v>190</v>
      </c>
    </row>
    <row r="91" ht="21.75" customHeight="1">
      <c r="A91" s="4">
        <v>90.0</v>
      </c>
      <c r="B91" s="5" t="s">
        <v>191</v>
      </c>
      <c r="C91" s="12" t="s">
        <v>29</v>
      </c>
      <c r="D91" s="13" t="s">
        <v>30</v>
      </c>
      <c r="E91" s="8">
        <f>+77018085544</f>
        <v>77018085544</v>
      </c>
      <c r="F91" s="9" t="s">
        <v>192</v>
      </c>
    </row>
    <row r="92" ht="21.75" customHeight="1">
      <c r="A92" s="4">
        <v>91.0</v>
      </c>
      <c r="B92" s="5" t="s">
        <v>193</v>
      </c>
      <c r="C92" s="6" t="s">
        <v>7</v>
      </c>
      <c r="D92" s="7" t="s">
        <v>8</v>
      </c>
      <c r="E92" s="8">
        <f>+77083782169</f>
        <v>77083782169</v>
      </c>
      <c r="F92" s="9" t="s">
        <v>194</v>
      </c>
    </row>
    <row r="93" ht="21.75" customHeight="1">
      <c r="A93" s="4">
        <v>92.0</v>
      </c>
      <c r="B93" s="5" t="s">
        <v>195</v>
      </c>
      <c r="C93" s="12" t="s">
        <v>29</v>
      </c>
      <c r="D93" s="13" t="s">
        <v>30</v>
      </c>
      <c r="E93" s="8">
        <f>+77779959501</f>
        <v>77779959501</v>
      </c>
      <c r="F93" s="9" t="s">
        <v>196</v>
      </c>
    </row>
    <row r="94" ht="21.75" customHeight="1">
      <c r="A94" s="4">
        <v>93.0</v>
      </c>
      <c r="B94" s="5" t="s">
        <v>197</v>
      </c>
      <c r="C94" s="12" t="s">
        <v>29</v>
      </c>
      <c r="D94" s="13" t="s">
        <v>30</v>
      </c>
      <c r="E94" s="8">
        <f>+77712980693</f>
        <v>77712980693</v>
      </c>
      <c r="F94" s="9" t="s">
        <v>196</v>
      </c>
    </row>
    <row r="95" ht="21.75" customHeight="1">
      <c r="A95" s="4">
        <v>94.0</v>
      </c>
      <c r="B95" s="5" t="s">
        <v>198</v>
      </c>
      <c r="C95" s="6" t="s">
        <v>7</v>
      </c>
      <c r="D95" s="7" t="s">
        <v>8</v>
      </c>
      <c r="E95" s="8">
        <f>+77077120411</f>
        <v>77077120411</v>
      </c>
      <c r="F95" s="9" t="s">
        <v>199</v>
      </c>
    </row>
    <row r="96" ht="21.75" customHeight="1">
      <c r="A96" s="4">
        <v>95.0</v>
      </c>
      <c r="B96" s="5" t="s">
        <v>200</v>
      </c>
      <c r="C96" s="6" t="s">
        <v>7</v>
      </c>
      <c r="D96" s="7" t="s">
        <v>8</v>
      </c>
      <c r="E96" s="8">
        <f>+77476096669</f>
        <v>77476096669</v>
      </c>
      <c r="F96" s="9" t="s">
        <v>201</v>
      </c>
    </row>
    <row r="97" ht="21.75" customHeight="1">
      <c r="A97" s="4">
        <v>96.0</v>
      </c>
      <c r="B97" s="5" t="s">
        <v>202</v>
      </c>
      <c r="C97" s="6" t="s">
        <v>7</v>
      </c>
      <c r="D97" s="7" t="s">
        <v>8</v>
      </c>
      <c r="E97" s="8">
        <f>+77780275577</f>
        <v>77780275577</v>
      </c>
      <c r="F97" s="9" t="s">
        <v>203</v>
      </c>
    </row>
    <row r="98" ht="21.75" customHeight="1">
      <c r="A98" s="4">
        <v>97.0</v>
      </c>
      <c r="B98" s="5" t="s">
        <v>204</v>
      </c>
      <c r="C98" s="10" t="s">
        <v>13</v>
      </c>
      <c r="D98" s="11" t="s">
        <v>14</v>
      </c>
      <c r="E98" s="8">
        <f>+77079898969</f>
        <v>77079898969</v>
      </c>
      <c r="F98" s="9" t="s">
        <v>205</v>
      </c>
    </row>
    <row r="99" ht="21.75" customHeight="1">
      <c r="A99" s="4">
        <v>98.0</v>
      </c>
      <c r="B99" s="5" t="s">
        <v>206</v>
      </c>
      <c r="C99" s="12" t="s">
        <v>29</v>
      </c>
      <c r="D99" s="13" t="s">
        <v>30</v>
      </c>
      <c r="E99" s="8">
        <f>+77054699328</f>
        <v>77054699328</v>
      </c>
      <c r="F99" s="9" t="s">
        <v>207</v>
      </c>
    </row>
    <row r="100" ht="21.75" customHeight="1">
      <c r="A100" s="4">
        <v>99.0</v>
      </c>
      <c r="B100" s="5" t="s">
        <v>208</v>
      </c>
      <c r="C100" s="10" t="s">
        <v>13</v>
      </c>
      <c r="D100" s="11" t="s">
        <v>14</v>
      </c>
      <c r="E100" s="8">
        <f>+77053240506</f>
        <v>77053240506</v>
      </c>
      <c r="F100" s="9" t="s">
        <v>209</v>
      </c>
    </row>
    <row r="101" ht="21.75" customHeight="1">
      <c r="A101" s="4">
        <v>100.0</v>
      </c>
      <c r="B101" s="5" t="s">
        <v>210</v>
      </c>
      <c r="C101" s="6" t="s">
        <v>7</v>
      </c>
      <c r="D101" s="7" t="s">
        <v>8</v>
      </c>
      <c r="E101" s="8">
        <f>+77019764433</f>
        <v>77019764433</v>
      </c>
      <c r="F101" s="9" t="s">
        <v>211</v>
      </c>
    </row>
    <row r="102" ht="21.75" customHeight="1">
      <c r="A102" s="4">
        <v>101.0</v>
      </c>
      <c r="B102" s="5" t="s">
        <v>212</v>
      </c>
      <c r="C102" s="6" t="s">
        <v>7</v>
      </c>
      <c r="D102" s="7" t="s">
        <v>8</v>
      </c>
      <c r="E102" s="8">
        <f>+77057450533</f>
        <v>77057450533</v>
      </c>
      <c r="F102" s="9" t="s">
        <v>213</v>
      </c>
    </row>
    <row r="103" ht="21.75" customHeight="1">
      <c r="A103" s="4">
        <v>102.0</v>
      </c>
      <c r="B103" s="5" t="s">
        <v>214</v>
      </c>
      <c r="C103" s="6" t="s">
        <v>7</v>
      </c>
      <c r="D103" s="7" t="s">
        <v>8</v>
      </c>
      <c r="E103" s="8">
        <f>+77073027040</f>
        <v>77073027040</v>
      </c>
      <c r="F103" s="9" t="s">
        <v>215</v>
      </c>
    </row>
    <row r="104" ht="21.75" customHeight="1">
      <c r="A104" s="4">
        <v>103.0</v>
      </c>
      <c r="B104" s="5" t="s">
        <v>216</v>
      </c>
      <c r="C104" s="6" t="s">
        <v>7</v>
      </c>
      <c r="D104" s="7" t="s">
        <v>8</v>
      </c>
      <c r="E104" s="8">
        <f>+77761468114</f>
        <v>77761468114</v>
      </c>
      <c r="F104" s="9" t="s">
        <v>213</v>
      </c>
    </row>
    <row r="105" ht="21.75" customHeight="1">
      <c r="A105" s="4">
        <v>104.0</v>
      </c>
      <c r="B105" s="5" t="s">
        <v>217</v>
      </c>
      <c r="C105" s="12" t="s">
        <v>29</v>
      </c>
      <c r="D105" s="13" t="s">
        <v>30</v>
      </c>
      <c r="E105" s="8">
        <f>+77712620705</f>
        <v>77712620705</v>
      </c>
      <c r="F105" s="9" t="s">
        <v>218</v>
      </c>
    </row>
    <row r="106" ht="21.75" customHeight="1">
      <c r="A106" s="4">
        <v>105.0</v>
      </c>
      <c r="B106" s="5" t="s">
        <v>219</v>
      </c>
      <c r="C106" s="6" t="s">
        <v>7</v>
      </c>
      <c r="D106" s="7" t="s">
        <v>8</v>
      </c>
      <c r="E106" s="8">
        <f>+77002712270</f>
        <v>77002712270</v>
      </c>
      <c r="F106" s="9" t="s">
        <v>220</v>
      </c>
    </row>
    <row r="107" ht="21.75" customHeight="1">
      <c r="A107" s="4">
        <v>106.0</v>
      </c>
      <c r="B107" s="5" t="s">
        <v>221</v>
      </c>
      <c r="C107" s="6" t="s">
        <v>7</v>
      </c>
      <c r="D107" s="7" t="s">
        <v>8</v>
      </c>
      <c r="E107" s="8">
        <f>+77772494996</f>
        <v>77772494996</v>
      </c>
      <c r="F107" s="9" t="s">
        <v>222</v>
      </c>
    </row>
    <row r="108" ht="21.75" customHeight="1">
      <c r="A108" s="4">
        <v>107.0</v>
      </c>
      <c r="B108" s="5" t="s">
        <v>223</v>
      </c>
      <c r="C108" s="6" t="s">
        <v>7</v>
      </c>
      <c r="D108" s="7" t="s">
        <v>8</v>
      </c>
      <c r="E108" s="8">
        <f>+77785040092</f>
        <v>77785040092</v>
      </c>
      <c r="F108" s="9" t="s">
        <v>224</v>
      </c>
    </row>
    <row r="109" ht="21.75" customHeight="1">
      <c r="A109" s="4">
        <v>108.0</v>
      </c>
      <c r="B109" s="5" t="s">
        <v>225</v>
      </c>
      <c r="C109" s="6" t="s">
        <v>7</v>
      </c>
      <c r="D109" s="7" t="s">
        <v>8</v>
      </c>
      <c r="E109" s="8">
        <f>+77051822024</f>
        <v>77051822024</v>
      </c>
      <c r="F109" s="9" t="s">
        <v>226</v>
      </c>
    </row>
    <row r="110" ht="21.75" customHeight="1">
      <c r="A110" s="4">
        <v>109.0</v>
      </c>
      <c r="B110" s="5" t="s">
        <v>227</v>
      </c>
      <c r="C110" s="10" t="s">
        <v>13</v>
      </c>
      <c r="D110" s="11" t="s">
        <v>14</v>
      </c>
      <c r="E110" s="8">
        <f>+77765321327</f>
        <v>77765321327</v>
      </c>
      <c r="F110" s="9" t="s">
        <v>228</v>
      </c>
    </row>
    <row r="111" ht="21.75" customHeight="1">
      <c r="A111" s="4">
        <v>110.0</v>
      </c>
      <c r="B111" s="5" t="s">
        <v>229</v>
      </c>
      <c r="C111" s="6" t="s">
        <v>7</v>
      </c>
      <c r="D111" s="7" t="s">
        <v>8</v>
      </c>
      <c r="E111" s="8">
        <f>+77078686859</f>
        <v>77078686859</v>
      </c>
      <c r="F111" s="9" t="s">
        <v>230</v>
      </c>
    </row>
    <row r="112" ht="21.75" customHeight="1">
      <c r="A112" s="4">
        <v>111.0</v>
      </c>
      <c r="B112" s="5" t="s">
        <v>231</v>
      </c>
      <c r="C112" s="6" t="s">
        <v>7</v>
      </c>
      <c r="D112" s="7" t="s">
        <v>8</v>
      </c>
      <c r="E112" s="8">
        <f>+77476360798</f>
        <v>77476360798</v>
      </c>
      <c r="F112" s="9" t="s">
        <v>232</v>
      </c>
    </row>
    <row r="113" ht="21.75" customHeight="1">
      <c r="A113" s="4">
        <v>112.0</v>
      </c>
      <c r="B113" s="5" t="s">
        <v>233</v>
      </c>
      <c r="C113" s="6" t="s">
        <v>7</v>
      </c>
      <c r="D113" s="7" t="s">
        <v>8</v>
      </c>
      <c r="E113" s="8">
        <f>+77023457744</f>
        <v>77023457744</v>
      </c>
      <c r="F113" s="9" t="s">
        <v>234</v>
      </c>
    </row>
    <row r="114" ht="21.75" customHeight="1">
      <c r="A114" s="4">
        <v>113.0</v>
      </c>
      <c r="B114" s="5" t="s">
        <v>235</v>
      </c>
      <c r="C114" s="6" t="s">
        <v>7</v>
      </c>
      <c r="D114" s="7" t="s">
        <v>8</v>
      </c>
      <c r="E114" s="8">
        <f>+77055641234</f>
        <v>77055641234</v>
      </c>
      <c r="F114" s="9" t="s">
        <v>236</v>
      </c>
    </row>
    <row r="115" ht="21.75" customHeight="1">
      <c r="A115" s="4">
        <v>114.0</v>
      </c>
      <c r="B115" s="5" t="s">
        <v>237</v>
      </c>
      <c r="C115" s="12" t="s">
        <v>29</v>
      </c>
      <c r="D115" s="13" t="s">
        <v>30</v>
      </c>
      <c r="E115" s="8">
        <f>+77077172972</f>
        <v>77077172972</v>
      </c>
      <c r="F115" s="9" t="s">
        <v>238</v>
      </c>
    </row>
    <row r="116" ht="21.75" customHeight="1">
      <c r="A116" s="4">
        <v>115.0</v>
      </c>
      <c r="B116" s="5" t="s">
        <v>239</v>
      </c>
      <c r="C116" s="12" t="s">
        <v>29</v>
      </c>
      <c r="D116" s="13" t="s">
        <v>30</v>
      </c>
      <c r="E116" s="8">
        <f>+77028246195</f>
        <v>77028246195</v>
      </c>
      <c r="F116" s="9" t="s">
        <v>240</v>
      </c>
    </row>
    <row r="117" ht="21.75" customHeight="1">
      <c r="A117" s="4">
        <v>116.0</v>
      </c>
      <c r="B117" s="5" t="s">
        <v>241</v>
      </c>
      <c r="C117" s="10" t="s">
        <v>13</v>
      </c>
      <c r="D117" s="11" t="s">
        <v>14</v>
      </c>
      <c r="E117" s="8">
        <f>+77075092557</f>
        <v>77075092557</v>
      </c>
      <c r="F117" s="9" t="s">
        <v>242</v>
      </c>
    </row>
    <row r="118" ht="21.75" customHeight="1">
      <c r="A118" s="4">
        <v>117.0</v>
      </c>
      <c r="B118" s="5" t="s">
        <v>243</v>
      </c>
      <c r="C118" s="10" t="s">
        <v>13</v>
      </c>
      <c r="D118" s="11" t="s">
        <v>14</v>
      </c>
      <c r="E118" s="8">
        <f>+77013751011</f>
        <v>77013751011</v>
      </c>
      <c r="F118" s="9" t="s">
        <v>244</v>
      </c>
    </row>
    <row r="119" ht="21.75" customHeight="1">
      <c r="A119" s="15">
        <v>118.0</v>
      </c>
      <c r="B119" s="5" t="s">
        <v>245</v>
      </c>
      <c r="C119" s="10" t="s">
        <v>13</v>
      </c>
      <c r="D119" s="11" t="s">
        <v>14</v>
      </c>
      <c r="E119" s="8">
        <f>+77022188921</f>
        <v>77022188921</v>
      </c>
      <c r="F119" s="9" t="s">
        <v>246</v>
      </c>
    </row>
    <row r="120" ht="21.75" customHeight="1">
      <c r="A120" s="4">
        <v>119.0</v>
      </c>
      <c r="B120" s="5" t="s">
        <v>225</v>
      </c>
      <c r="C120" s="16"/>
      <c r="D120" s="16"/>
      <c r="E120" s="9" t="s">
        <v>247</v>
      </c>
    </row>
    <row r="121" ht="21.75" customHeight="1">
      <c r="A121" s="4">
        <v>120.0</v>
      </c>
      <c r="B121" s="5" t="s">
        <v>248</v>
      </c>
      <c r="C121" s="16"/>
      <c r="D121" s="16"/>
      <c r="E121" s="9" t="s">
        <v>249</v>
      </c>
    </row>
    <row r="122" ht="21.75" customHeight="1">
      <c r="A122" s="4">
        <v>121.0</v>
      </c>
      <c r="B122" s="5" t="s">
        <v>227</v>
      </c>
      <c r="C122" s="16"/>
      <c r="D122" s="16"/>
      <c r="E122" s="9" t="s">
        <v>250</v>
      </c>
    </row>
    <row r="123" ht="21.75" customHeight="1">
      <c r="A123" s="4">
        <v>122.0</v>
      </c>
      <c r="B123" s="5" t="s">
        <v>229</v>
      </c>
      <c r="C123" s="16"/>
      <c r="D123" s="16"/>
      <c r="E123" s="9" t="s">
        <v>251</v>
      </c>
    </row>
    <row r="124" ht="21.75" customHeight="1">
      <c r="A124" s="4">
        <v>123.0</v>
      </c>
      <c r="B124" s="5" t="s">
        <v>231</v>
      </c>
      <c r="C124" s="16"/>
      <c r="D124" s="16"/>
      <c r="E124" s="9" t="s">
        <v>251</v>
      </c>
    </row>
    <row r="125" ht="21.75" customHeight="1">
      <c r="A125" s="4">
        <v>124.0</v>
      </c>
      <c r="B125" s="5" t="s">
        <v>233</v>
      </c>
      <c r="C125" s="16"/>
      <c r="D125" s="16"/>
      <c r="E125" s="9" t="s">
        <v>251</v>
      </c>
    </row>
    <row r="126" ht="21.75" customHeight="1">
      <c r="A126" s="4">
        <v>125.0</v>
      </c>
      <c r="B126" s="5" t="s">
        <v>235</v>
      </c>
      <c r="C126" s="16"/>
      <c r="D126" s="16"/>
      <c r="E126" s="9" t="s">
        <v>251</v>
      </c>
    </row>
    <row r="127" ht="21.75" customHeight="1">
      <c r="A127" s="4">
        <v>126.0</v>
      </c>
      <c r="B127" s="5" t="s">
        <v>237</v>
      </c>
      <c r="C127" s="16"/>
      <c r="D127" s="16"/>
      <c r="E127" s="9" t="s">
        <v>251</v>
      </c>
    </row>
    <row r="128" ht="21.75" customHeight="1">
      <c r="A128" s="4">
        <v>127.0</v>
      </c>
      <c r="B128" s="5" t="s">
        <v>239</v>
      </c>
      <c r="C128" s="16"/>
      <c r="D128" s="16"/>
      <c r="E128" s="9" t="s">
        <v>251</v>
      </c>
    </row>
    <row r="129" ht="21.75" customHeight="1">
      <c r="A129" s="4">
        <v>128.0</v>
      </c>
      <c r="B129" s="5" t="s">
        <v>241</v>
      </c>
      <c r="C129" s="16"/>
      <c r="D129" s="16"/>
      <c r="E129" s="9" t="s">
        <v>251</v>
      </c>
    </row>
    <row r="130" ht="21.75" customHeight="1">
      <c r="A130" s="4">
        <v>129.0</v>
      </c>
      <c r="B130" s="5" t="s">
        <v>243</v>
      </c>
      <c r="C130" s="16"/>
      <c r="D130" s="16"/>
      <c r="E130" s="9" t="s">
        <v>251</v>
      </c>
    </row>
    <row r="131" ht="21.75" customHeight="1">
      <c r="A131" s="4">
        <v>130.0</v>
      </c>
      <c r="B131" s="5" t="s">
        <v>245</v>
      </c>
      <c r="C131" s="16"/>
      <c r="D131" s="16"/>
      <c r="E131" s="9" t="s">
        <v>247</v>
      </c>
    </row>
    <row r="132" ht="21.75" customHeight="1">
      <c r="A132" s="17">
        <v>131.0</v>
      </c>
      <c r="B132" s="5" t="s">
        <v>252</v>
      </c>
      <c r="C132" s="16"/>
      <c r="D132" s="16"/>
      <c r="E132" s="9" t="s">
        <v>249</v>
      </c>
    </row>
    <row r="133">
      <c r="B133" s="16"/>
      <c r="C133" s="16"/>
      <c r="D133" s="16"/>
    </row>
    <row r="134">
      <c r="B134" s="16"/>
      <c r="C134" s="16"/>
      <c r="D134" s="16"/>
    </row>
    <row r="135">
      <c r="B135" s="16"/>
      <c r="C135" s="16"/>
      <c r="D135" s="16"/>
    </row>
    <row r="136">
      <c r="B136" s="16"/>
      <c r="C136" s="16"/>
      <c r="D136" s="16"/>
    </row>
    <row r="137">
      <c r="B137" s="16"/>
      <c r="C137" s="16"/>
      <c r="D137" s="16"/>
    </row>
    <row r="138">
      <c r="B138" s="16"/>
      <c r="C138" s="16"/>
      <c r="D138" s="16"/>
    </row>
    <row r="139">
      <c r="B139" s="16"/>
      <c r="C139" s="16"/>
      <c r="D139" s="16"/>
    </row>
    <row r="140">
      <c r="B140" s="16"/>
      <c r="C140" s="16"/>
      <c r="D140" s="16"/>
    </row>
    <row r="141">
      <c r="B141" s="16"/>
      <c r="C141" s="16"/>
      <c r="D141" s="16"/>
    </row>
    <row r="142">
      <c r="B142" s="16"/>
      <c r="C142" s="16"/>
      <c r="D142" s="16"/>
    </row>
    <row r="143">
      <c r="B143" s="16"/>
      <c r="C143" s="16"/>
      <c r="D143" s="16"/>
    </row>
    <row r="144">
      <c r="B144" s="16"/>
      <c r="C144" s="16"/>
      <c r="D144" s="16"/>
    </row>
    <row r="145">
      <c r="B145" s="16"/>
      <c r="C145" s="16"/>
      <c r="D145" s="16"/>
    </row>
    <row r="146">
      <c r="B146" s="16"/>
      <c r="C146" s="16"/>
      <c r="D146" s="16"/>
    </row>
    <row r="147">
      <c r="B147" s="16"/>
      <c r="C147" s="16"/>
      <c r="D147" s="16"/>
    </row>
    <row r="148">
      <c r="B148" s="16"/>
      <c r="C148" s="16"/>
      <c r="D148" s="16"/>
    </row>
    <row r="149">
      <c r="B149" s="16"/>
      <c r="C149" s="16"/>
      <c r="D149" s="16"/>
    </row>
    <row r="150">
      <c r="B150" s="16"/>
      <c r="C150" s="16"/>
      <c r="D150" s="16"/>
    </row>
    <row r="151">
      <c r="B151" s="16"/>
      <c r="C151" s="16"/>
      <c r="D151" s="16"/>
    </row>
    <row r="152">
      <c r="B152" s="16"/>
      <c r="C152" s="16"/>
      <c r="D152" s="16"/>
    </row>
    <row r="153">
      <c r="B153" s="16"/>
      <c r="C153" s="16"/>
      <c r="D153" s="16"/>
    </row>
    <row r="154">
      <c r="B154" s="16"/>
      <c r="C154" s="16"/>
      <c r="D154" s="16"/>
    </row>
    <row r="155">
      <c r="B155" s="16"/>
      <c r="C155" s="16"/>
      <c r="D155" s="16"/>
    </row>
    <row r="156">
      <c r="B156" s="16"/>
      <c r="C156" s="16"/>
      <c r="D156" s="16"/>
    </row>
    <row r="157">
      <c r="B157" s="16"/>
      <c r="C157" s="16"/>
      <c r="D157" s="16"/>
    </row>
    <row r="158">
      <c r="B158" s="16"/>
      <c r="C158" s="16"/>
      <c r="D158" s="16"/>
    </row>
    <row r="159">
      <c r="B159" s="16"/>
      <c r="C159" s="16"/>
      <c r="D159" s="16"/>
    </row>
    <row r="160">
      <c r="B160" s="16"/>
      <c r="C160" s="16"/>
      <c r="D160" s="16"/>
    </row>
    <row r="161">
      <c r="B161" s="16"/>
      <c r="C161" s="16"/>
      <c r="D161" s="16"/>
    </row>
    <row r="162">
      <c r="B162" s="16"/>
      <c r="C162" s="16"/>
      <c r="D162" s="16"/>
    </row>
    <row r="163">
      <c r="B163" s="16"/>
      <c r="C163" s="16"/>
      <c r="D163" s="16"/>
    </row>
    <row r="164">
      <c r="B164" s="16"/>
      <c r="C164" s="16"/>
      <c r="D164" s="16"/>
    </row>
    <row r="165">
      <c r="B165" s="16"/>
      <c r="C165" s="16"/>
      <c r="D165" s="16"/>
    </row>
    <row r="166">
      <c r="B166" s="16"/>
      <c r="C166" s="16"/>
      <c r="D166" s="16"/>
    </row>
    <row r="167">
      <c r="B167" s="16"/>
      <c r="C167" s="16"/>
      <c r="D167" s="16"/>
    </row>
    <row r="168">
      <c r="B168" s="16"/>
      <c r="C168" s="16"/>
      <c r="D168" s="16"/>
    </row>
    <row r="169">
      <c r="B169" s="16"/>
      <c r="C169" s="16"/>
      <c r="D169" s="16"/>
    </row>
    <row r="170">
      <c r="B170" s="16"/>
      <c r="C170" s="16"/>
      <c r="D170" s="16"/>
    </row>
    <row r="171">
      <c r="B171" s="16"/>
      <c r="C171" s="16"/>
      <c r="D171" s="16"/>
    </row>
    <row r="172">
      <c r="B172" s="16"/>
      <c r="C172" s="16"/>
      <c r="D172" s="16"/>
    </row>
    <row r="173">
      <c r="B173" s="16"/>
      <c r="C173" s="16"/>
      <c r="D173" s="16"/>
    </row>
    <row r="174">
      <c r="B174" s="16"/>
      <c r="C174" s="16"/>
      <c r="D174" s="16"/>
    </row>
    <row r="175">
      <c r="B175" s="16"/>
      <c r="C175" s="16"/>
      <c r="D175" s="16"/>
    </row>
    <row r="176">
      <c r="B176" s="16"/>
      <c r="C176" s="16"/>
      <c r="D176" s="16"/>
    </row>
    <row r="177">
      <c r="B177" s="16"/>
      <c r="C177" s="16"/>
      <c r="D177" s="16"/>
    </row>
    <row r="178">
      <c r="B178" s="16"/>
      <c r="C178" s="16"/>
      <c r="D178" s="16"/>
    </row>
    <row r="179">
      <c r="B179" s="16"/>
      <c r="C179" s="16"/>
      <c r="D179" s="16"/>
    </row>
    <row r="180">
      <c r="B180" s="16"/>
      <c r="C180" s="16"/>
      <c r="D180" s="16"/>
    </row>
    <row r="181">
      <c r="B181" s="16"/>
      <c r="C181" s="16"/>
      <c r="D181" s="16"/>
    </row>
    <row r="182">
      <c r="B182" s="16"/>
      <c r="C182" s="16"/>
      <c r="D182" s="16"/>
    </row>
    <row r="183">
      <c r="B183" s="16"/>
      <c r="C183" s="16"/>
      <c r="D183" s="16"/>
    </row>
    <row r="184">
      <c r="B184" s="16"/>
      <c r="C184" s="16"/>
      <c r="D184" s="16"/>
    </row>
    <row r="185">
      <c r="B185" s="16"/>
      <c r="C185" s="16"/>
      <c r="D185" s="16"/>
    </row>
    <row r="186">
      <c r="B186" s="16"/>
      <c r="C186" s="16"/>
      <c r="D186" s="16"/>
    </row>
    <row r="187">
      <c r="B187" s="16"/>
      <c r="C187" s="16"/>
      <c r="D187" s="16"/>
    </row>
    <row r="188">
      <c r="B188" s="16"/>
      <c r="C188" s="16"/>
      <c r="D188" s="16"/>
    </row>
    <row r="189">
      <c r="B189" s="16"/>
      <c r="C189" s="16"/>
      <c r="D189" s="16"/>
    </row>
    <row r="190">
      <c r="B190" s="16"/>
      <c r="C190" s="16"/>
      <c r="D190" s="16"/>
    </row>
    <row r="191">
      <c r="B191" s="16"/>
      <c r="C191" s="16"/>
      <c r="D191" s="16"/>
    </row>
    <row r="192">
      <c r="B192" s="16"/>
      <c r="C192" s="16"/>
      <c r="D192" s="16"/>
    </row>
    <row r="193">
      <c r="B193" s="16"/>
      <c r="C193" s="16"/>
      <c r="D193" s="16"/>
    </row>
    <row r="194">
      <c r="B194" s="16"/>
      <c r="C194" s="16"/>
      <c r="D194" s="16"/>
    </row>
    <row r="195">
      <c r="B195" s="16"/>
      <c r="C195" s="16"/>
      <c r="D195" s="16"/>
    </row>
    <row r="196">
      <c r="B196" s="16"/>
      <c r="C196" s="16"/>
      <c r="D196" s="16"/>
    </row>
    <row r="197">
      <c r="B197" s="16"/>
      <c r="C197" s="16"/>
      <c r="D197" s="16"/>
    </row>
    <row r="198">
      <c r="B198" s="16"/>
      <c r="C198" s="16"/>
      <c r="D198" s="16"/>
    </row>
    <row r="199">
      <c r="B199" s="16"/>
      <c r="C199" s="16"/>
      <c r="D199" s="16"/>
    </row>
    <row r="200">
      <c r="B200" s="16"/>
      <c r="C200" s="16"/>
      <c r="D200" s="16"/>
    </row>
    <row r="201">
      <c r="B201" s="16"/>
      <c r="C201" s="16"/>
      <c r="D201" s="16"/>
    </row>
    <row r="202">
      <c r="B202" s="16"/>
      <c r="C202" s="16"/>
      <c r="D202" s="16"/>
    </row>
    <row r="203">
      <c r="B203" s="16"/>
      <c r="C203" s="16"/>
      <c r="D203" s="16"/>
    </row>
    <row r="204">
      <c r="B204" s="16"/>
      <c r="C204" s="16"/>
      <c r="D204" s="16"/>
    </row>
    <row r="205">
      <c r="B205" s="16"/>
      <c r="C205" s="16"/>
      <c r="D205" s="16"/>
    </row>
    <row r="206">
      <c r="B206" s="16"/>
      <c r="C206" s="16"/>
      <c r="D206" s="16"/>
    </row>
    <row r="207">
      <c r="B207" s="16"/>
      <c r="C207" s="16"/>
      <c r="D207" s="16"/>
    </row>
    <row r="208">
      <c r="B208" s="16"/>
      <c r="C208" s="16"/>
      <c r="D208" s="16"/>
    </row>
    <row r="209">
      <c r="B209" s="16"/>
      <c r="C209" s="16"/>
      <c r="D209" s="16"/>
    </row>
    <row r="210">
      <c r="B210" s="16"/>
      <c r="C210" s="16"/>
      <c r="D210" s="16"/>
    </row>
    <row r="211">
      <c r="B211" s="16"/>
      <c r="C211" s="16"/>
      <c r="D211" s="16"/>
    </row>
    <row r="212">
      <c r="B212" s="16"/>
      <c r="C212" s="16"/>
      <c r="D212" s="16"/>
    </row>
    <row r="213">
      <c r="B213" s="16"/>
      <c r="C213" s="16"/>
      <c r="D213" s="16"/>
    </row>
    <row r="214">
      <c r="B214" s="16"/>
      <c r="C214" s="16"/>
      <c r="D214" s="16"/>
    </row>
    <row r="215">
      <c r="B215" s="16"/>
      <c r="C215" s="16"/>
      <c r="D215" s="16"/>
    </row>
    <row r="216">
      <c r="B216" s="16"/>
      <c r="C216" s="16"/>
      <c r="D216" s="16"/>
    </row>
    <row r="217">
      <c r="B217" s="16"/>
      <c r="C217" s="16"/>
      <c r="D217" s="16"/>
    </row>
    <row r="218">
      <c r="B218" s="16"/>
      <c r="C218" s="16"/>
      <c r="D218" s="16"/>
    </row>
    <row r="219">
      <c r="B219" s="16"/>
      <c r="C219" s="16"/>
      <c r="D219" s="16"/>
    </row>
    <row r="220">
      <c r="B220" s="16"/>
      <c r="C220" s="16"/>
      <c r="D220" s="16"/>
    </row>
    <row r="221">
      <c r="B221" s="16"/>
      <c r="C221" s="16"/>
      <c r="D221" s="16"/>
    </row>
    <row r="222">
      <c r="B222" s="16"/>
      <c r="C222" s="16"/>
      <c r="D222" s="16"/>
    </row>
    <row r="223">
      <c r="B223" s="16"/>
      <c r="C223" s="16"/>
      <c r="D223" s="16"/>
    </row>
    <row r="224">
      <c r="B224" s="16"/>
      <c r="C224" s="16"/>
      <c r="D224" s="16"/>
    </row>
    <row r="225">
      <c r="B225" s="16"/>
      <c r="C225" s="16"/>
      <c r="D225" s="16"/>
    </row>
    <row r="226">
      <c r="B226" s="16"/>
      <c r="C226" s="16"/>
      <c r="D226" s="16"/>
    </row>
    <row r="227">
      <c r="B227" s="16"/>
      <c r="C227" s="16"/>
      <c r="D227" s="16"/>
    </row>
    <row r="228">
      <c r="B228" s="16"/>
      <c r="C228" s="16"/>
      <c r="D228" s="16"/>
    </row>
    <row r="229">
      <c r="B229" s="16"/>
      <c r="C229" s="16"/>
      <c r="D229" s="16"/>
    </row>
    <row r="230">
      <c r="B230" s="16"/>
      <c r="C230" s="16"/>
      <c r="D230" s="16"/>
    </row>
    <row r="231">
      <c r="B231" s="16"/>
      <c r="C231" s="16"/>
      <c r="D231" s="16"/>
    </row>
    <row r="232">
      <c r="B232" s="16"/>
      <c r="C232" s="16"/>
      <c r="D232" s="16"/>
    </row>
    <row r="233">
      <c r="B233" s="16"/>
      <c r="C233" s="16"/>
      <c r="D233" s="16"/>
    </row>
    <row r="234">
      <c r="B234" s="16"/>
      <c r="C234" s="16"/>
      <c r="D234" s="16"/>
    </row>
    <row r="235">
      <c r="B235" s="16"/>
      <c r="C235" s="16"/>
      <c r="D235" s="16"/>
    </row>
    <row r="236">
      <c r="B236" s="16"/>
      <c r="C236" s="16"/>
      <c r="D236" s="16"/>
    </row>
    <row r="237">
      <c r="B237" s="16"/>
      <c r="C237" s="16"/>
      <c r="D237" s="16"/>
    </row>
    <row r="238">
      <c r="B238" s="16"/>
      <c r="C238" s="16"/>
      <c r="D238" s="16"/>
    </row>
    <row r="239">
      <c r="B239" s="16"/>
      <c r="C239" s="16"/>
      <c r="D239" s="16"/>
    </row>
    <row r="240">
      <c r="B240" s="16"/>
      <c r="C240" s="16"/>
      <c r="D240" s="16"/>
    </row>
    <row r="241">
      <c r="B241" s="16"/>
      <c r="C241" s="16"/>
      <c r="D241" s="16"/>
    </row>
    <row r="242">
      <c r="B242" s="16"/>
      <c r="C242" s="16"/>
      <c r="D242" s="16"/>
    </row>
    <row r="243">
      <c r="B243" s="16"/>
      <c r="C243" s="16"/>
      <c r="D243" s="16"/>
    </row>
    <row r="244">
      <c r="B244" s="16"/>
      <c r="C244" s="16"/>
      <c r="D244" s="16"/>
    </row>
    <row r="245">
      <c r="B245" s="16"/>
      <c r="C245" s="16"/>
      <c r="D245" s="16"/>
    </row>
    <row r="246">
      <c r="B246" s="16"/>
      <c r="C246" s="16"/>
      <c r="D246" s="16"/>
    </row>
    <row r="247">
      <c r="B247" s="16"/>
      <c r="C247" s="16"/>
      <c r="D247" s="16"/>
    </row>
    <row r="248">
      <c r="B248" s="16"/>
      <c r="C248" s="16"/>
      <c r="D248" s="16"/>
    </row>
    <row r="249">
      <c r="B249" s="16"/>
      <c r="C249" s="16"/>
      <c r="D249" s="16"/>
    </row>
    <row r="250">
      <c r="B250" s="16"/>
      <c r="C250" s="16"/>
      <c r="D250" s="16"/>
    </row>
    <row r="251">
      <c r="B251" s="16"/>
      <c r="C251" s="16"/>
      <c r="D251" s="16"/>
    </row>
    <row r="252">
      <c r="B252" s="16"/>
      <c r="C252" s="16"/>
      <c r="D252" s="16"/>
    </row>
    <row r="253">
      <c r="B253" s="16"/>
      <c r="C253" s="16"/>
      <c r="D253" s="16"/>
    </row>
    <row r="254">
      <c r="B254" s="16"/>
      <c r="C254" s="16"/>
      <c r="D254" s="16"/>
    </row>
    <row r="255">
      <c r="B255" s="16"/>
      <c r="C255" s="16"/>
      <c r="D255" s="16"/>
    </row>
    <row r="256">
      <c r="B256" s="16"/>
      <c r="C256" s="16"/>
      <c r="D256" s="16"/>
    </row>
    <row r="257">
      <c r="B257" s="16"/>
      <c r="C257" s="16"/>
      <c r="D257" s="16"/>
    </row>
    <row r="258">
      <c r="B258" s="16"/>
      <c r="C258" s="16"/>
      <c r="D258" s="16"/>
    </row>
    <row r="259">
      <c r="B259" s="16"/>
      <c r="C259" s="16"/>
      <c r="D259" s="16"/>
    </row>
    <row r="260">
      <c r="B260" s="16"/>
      <c r="C260" s="16"/>
      <c r="D260" s="16"/>
    </row>
    <row r="261">
      <c r="B261" s="16"/>
      <c r="C261" s="16"/>
      <c r="D261" s="16"/>
    </row>
    <row r="262">
      <c r="B262" s="16"/>
      <c r="C262" s="16"/>
      <c r="D262" s="16"/>
    </row>
    <row r="263">
      <c r="B263" s="16"/>
      <c r="C263" s="16"/>
      <c r="D263" s="16"/>
    </row>
    <row r="264">
      <c r="B264" s="16"/>
      <c r="C264" s="16"/>
      <c r="D264" s="16"/>
    </row>
    <row r="265">
      <c r="B265" s="16"/>
      <c r="C265" s="16"/>
      <c r="D265" s="16"/>
    </row>
    <row r="266">
      <c r="B266" s="16"/>
      <c r="C266" s="16"/>
      <c r="D266" s="16"/>
    </row>
    <row r="267">
      <c r="B267" s="16"/>
      <c r="C267" s="16"/>
      <c r="D267" s="16"/>
    </row>
    <row r="268">
      <c r="B268" s="16"/>
      <c r="C268" s="16"/>
      <c r="D268" s="16"/>
    </row>
    <row r="269">
      <c r="B269" s="16"/>
      <c r="C269" s="16"/>
      <c r="D269" s="16"/>
    </row>
    <row r="270">
      <c r="B270" s="16"/>
      <c r="C270" s="16"/>
      <c r="D270" s="16"/>
    </row>
    <row r="271">
      <c r="B271" s="16"/>
      <c r="C271" s="16"/>
      <c r="D271" s="16"/>
    </row>
    <row r="272">
      <c r="B272" s="16"/>
      <c r="C272" s="16"/>
      <c r="D272" s="16"/>
    </row>
    <row r="273">
      <c r="B273" s="16"/>
      <c r="C273" s="16"/>
      <c r="D273" s="16"/>
    </row>
    <row r="274">
      <c r="B274" s="16"/>
      <c r="C274" s="16"/>
      <c r="D274" s="16"/>
    </row>
    <row r="275">
      <c r="B275" s="16"/>
      <c r="C275" s="16"/>
      <c r="D275" s="16"/>
    </row>
    <row r="276">
      <c r="B276" s="16"/>
      <c r="C276" s="16"/>
      <c r="D276" s="16"/>
    </row>
    <row r="277">
      <c r="B277" s="16"/>
      <c r="C277" s="16"/>
      <c r="D277" s="16"/>
    </row>
    <row r="278">
      <c r="B278" s="16"/>
      <c r="C278" s="16"/>
      <c r="D278" s="16"/>
    </row>
    <row r="279">
      <c r="B279" s="16"/>
      <c r="C279" s="16"/>
      <c r="D279" s="16"/>
    </row>
    <row r="280">
      <c r="B280" s="16"/>
      <c r="C280" s="16"/>
      <c r="D280" s="16"/>
    </row>
    <row r="281">
      <c r="B281" s="16"/>
      <c r="C281" s="16"/>
      <c r="D281" s="16"/>
    </row>
    <row r="282">
      <c r="B282" s="16"/>
      <c r="C282" s="16"/>
      <c r="D282" s="16"/>
    </row>
    <row r="283">
      <c r="B283" s="16"/>
      <c r="C283" s="16"/>
      <c r="D283" s="16"/>
    </row>
    <row r="284">
      <c r="B284" s="16"/>
      <c r="C284" s="16"/>
      <c r="D284" s="16"/>
    </row>
    <row r="285">
      <c r="B285" s="16"/>
      <c r="C285" s="16"/>
      <c r="D285" s="16"/>
    </row>
    <row r="286">
      <c r="B286" s="16"/>
      <c r="C286" s="16"/>
      <c r="D286" s="16"/>
    </row>
    <row r="287">
      <c r="B287" s="16"/>
      <c r="C287" s="16"/>
      <c r="D287" s="16"/>
    </row>
    <row r="288">
      <c r="B288" s="16"/>
      <c r="C288" s="16"/>
      <c r="D288" s="16"/>
    </row>
    <row r="289">
      <c r="B289" s="16"/>
      <c r="C289" s="16"/>
      <c r="D289" s="16"/>
    </row>
    <row r="290">
      <c r="B290" s="16"/>
      <c r="C290" s="16"/>
      <c r="D290" s="16"/>
    </row>
    <row r="291">
      <c r="B291" s="16"/>
      <c r="C291" s="16"/>
      <c r="D291" s="16"/>
    </row>
    <row r="292">
      <c r="B292" s="16"/>
      <c r="C292" s="16"/>
      <c r="D292" s="16"/>
    </row>
    <row r="293">
      <c r="B293" s="16"/>
      <c r="C293" s="16"/>
      <c r="D293" s="16"/>
    </row>
    <row r="294">
      <c r="B294" s="16"/>
      <c r="C294" s="16"/>
      <c r="D294" s="16"/>
    </row>
    <row r="295">
      <c r="B295" s="16"/>
      <c r="C295" s="16"/>
      <c r="D295" s="16"/>
    </row>
    <row r="296">
      <c r="B296" s="16"/>
      <c r="C296" s="16"/>
      <c r="D296" s="16"/>
    </row>
    <row r="297">
      <c r="B297" s="16"/>
      <c r="C297" s="16"/>
      <c r="D297" s="16"/>
    </row>
    <row r="298">
      <c r="B298" s="16"/>
      <c r="C298" s="16"/>
      <c r="D298" s="16"/>
    </row>
    <row r="299">
      <c r="B299" s="16"/>
      <c r="C299" s="16"/>
      <c r="D299" s="16"/>
    </row>
    <row r="300">
      <c r="B300" s="16"/>
      <c r="C300" s="16"/>
      <c r="D300" s="16"/>
    </row>
    <row r="301">
      <c r="B301" s="16"/>
      <c r="C301" s="16"/>
      <c r="D301" s="16"/>
    </row>
    <row r="302">
      <c r="B302" s="16"/>
      <c r="C302" s="16"/>
      <c r="D302" s="16"/>
    </row>
    <row r="303">
      <c r="B303" s="16"/>
      <c r="C303" s="16"/>
      <c r="D303" s="16"/>
    </row>
    <row r="304">
      <c r="B304" s="16"/>
      <c r="C304" s="16"/>
      <c r="D304" s="16"/>
    </row>
    <row r="305">
      <c r="B305" s="16"/>
      <c r="C305" s="16"/>
      <c r="D305" s="16"/>
    </row>
    <row r="306">
      <c r="B306" s="16"/>
      <c r="C306" s="16"/>
      <c r="D306" s="16"/>
    </row>
    <row r="307">
      <c r="B307" s="16"/>
      <c r="C307" s="16"/>
      <c r="D307" s="16"/>
    </row>
    <row r="308">
      <c r="B308" s="16"/>
      <c r="C308" s="16"/>
      <c r="D308" s="16"/>
    </row>
    <row r="309">
      <c r="B309" s="16"/>
      <c r="C309" s="16"/>
      <c r="D309" s="16"/>
    </row>
    <row r="310">
      <c r="B310" s="16"/>
      <c r="C310" s="16"/>
      <c r="D310" s="16"/>
    </row>
    <row r="311">
      <c r="B311" s="16"/>
      <c r="C311" s="16"/>
      <c r="D311" s="16"/>
    </row>
    <row r="312">
      <c r="B312" s="16"/>
      <c r="C312" s="16"/>
      <c r="D312" s="16"/>
    </row>
    <row r="313">
      <c r="B313" s="16"/>
      <c r="C313" s="16"/>
      <c r="D313" s="16"/>
    </row>
    <row r="314">
      <c r="B314" s="16"/>
      <c r="C314" s="16"/>
      <c r="D314" s="16"/>
    </row>
    <row r="315">
      <c r="B315" s="16"/>
      <c r="C315" s="16"/>
      <c r="D315" s="16"/>
    </row>
    <row r="316">
      <c r="B316" s="16"/>
      <c r="C316" s="16"/>
      <c r="D316" s="16"/>
    </row>
    <row r="317">
      <c r="B317" s="16"/>
      <c r="C317" s="16"/>
      <c r="D317" s="16"/>
    </row>
    <row r="318">
      <c r="B318" s="16"/>
      <c r="C318" s="16"/>
      <c r="D318" s="16"/>
    </row>
    <row r="319">
      <c r="B319" s="16"/>
      <c r="C319" s="16"/>
      <c r="D319" s="16"/>
    </row>
    <row r="320">
      <c r="B320" s="16"/>
      <c r="C320" s="16"/>
      <c r="D320" s="16"/>
    </row>
    <row r="321">
      <c r="B321" s="16"/>
      <c r="C321" s="16"/>
      <c r="D321" s="16"/>
    </row>
    <row r="322">
      <c r="B322" s="16"/>
      <c r="C322" s="16"/>
      <c r="D322" s="16"/>
    </row>
    <row r="323">
      <c r="B323" s="16"/>
      <c r="C323" s="16"/>
      <c r="D323" s="16"/>
    </row>
    <row r="324">
      <c r="B324" s="16"/>
      <c r="C324" s="16"/>
      <c r="D324" s="16"/>
    </row>
    <row r="325">
      <c r="B325" s="16"/>
      <c r="C325" s="16"/>
      <c r="D325" s="16"/>
    </row>
    <row r="326">
      <c r="B326" s="16"/>
      <c r="C326" s="16"/>
      <c r="D326" s="16"/>
    </row>
    <row r="327">
      <c r="B327" s="16"/>
      <c r="C327" s="16"/>
      <c r="D327" s="16"/>
    </row>
    <row r="328">
      <c r="B328" s="16"/>
      <c r="C328" s="16"/>
      <c r="D328" s="16"/>
    </row>
    <row r="329">
      <c r="B329" s="16"/>
      <c r="C329" s="16"/>
      <c r="D329" s="16"/>
    </row>
    <row r="330">
      <c r="B330" s="16"/>
      <c r="C330" s="16"/>
      <c r="D330" s="16"/>
    </row>
    <row r="331">
      <c r="B331" s="16"/>
      <c r="C331" s="16"/>
      <c r="D331" s="16"/>
    </row>
    <row r="332">
      <c r="B332" s="16"/>
      <c r="C332" s="16"/>
      <c r="D332" s="16"/>
    </row>
    <row r="333">
      <c r="B333" s="16"/>
      <c r="C333" s="16"/>
      <c r="D333" s="16"/>
    </row>
    <row r="334">
      <c r="B334" s="16"/>
      <c r="C334" s="16"/>
      <c r="D334" s="16"/>
    </row>
    <row r="335">
      <c r="B335" s="16"/>
      <c r="C335" s="16"/>
      <c r="D335" s="16"/>
    </row>
    <row r="336">
      <c r="B336" s="16"/>
      <c r="C336" s="16"/>
      <c r="D336" s="16"/>
    </row>
    <row r="337">
      <c r="B337" s="16"/>
      <c r="C337" s="16"/>
      <c r="D337" s="16"/>
    </row>
    <row r="338">
      <c r="B338" s="16"/>
      <c r="C338" s="16"/>
      <c r="D338" s="16"/>
    </row>
    <row r="339">
      <c r="B339" s="16"/>
      <c r="C339" s="16"/>
      <c r="D339" s="16"/>
    </row>
    <row r="340">
      <c r="B340" s="16"/>
      <c r="C340" s="16"/>
      <c r="D340" s="16"/>
    </row>
    <row r="341">
      <c r="B341" s="16"/>
      <c r="C341" s="16"/>
      <c r="D341" s="16"/>
    </row>
    <row r="342">
      <c r="B342" s="16"/>
      <c r="C342" s="16"/>
      <c r="D342" s="16"/>
    </row>
    <row r="343">
      <c r="B343" s="16"/>
      <c r="C343" s="16"/>
      <c r="D343" s="16"/>
    </row>
    <row r="344">
      <c r="B344" s="16"/>
      <c r="C344" s="16"/>
      <c r="D344" s="16"/>
    </row>
    <row r="345">
      <c r="B345" s="16"/>
      <c r="C345" s="16"/>
      <c r="D345" s="16"/>
    </row>
    <row r="346">
      <c r="B346" s="16"/>
      <c r="C346" s="16"/>
      <c r="D346" s="16"/>
    </row>
    <row r="347">
      <c r="B347" s="16"/>
      <c r="C347" s="16"/>
      <c r="D347" s="16"/>
    </row>
    <row r="348">
      <c r="B348" s="16"/>
      <c r="C348" s="16"/>
      <c r="D348" s="16"/>
    </row>
    <row r="349">
      <c r="B349" s="16"/>
      <c r="C349" s="16"/>
      <c r="D349" s="16"/>
    </row>
    <row r="350">
      <c r="B350" s="16"/>
      <c r="C350" s="16"/>
      <c r="D350" s="16"/>
    </row>
    <row r="351">
      <c r="B351" s="16"/>
      <c r="C351" s="16"/>
      <c r="D351" s="16"/>
    </row>
    <row r="352">
      <c r="B352" s="16"/>
      <c r="C352" s="16"/>
      <c r="D352" s="16"/>
    </row>
    <row r="353">
      <c r="B353" s="16"/>
      <c r="C353" s="16"/>
      <c r="D353" s="16"/>
    </row>
    <row r="354">
      <c r="B354" s="16"/>
      <c r="C354" s="16"/>
      <c r="D354" s="16"/>
    </row>
    <row r="355">
      <c r="B355" s="16"/>
      <c r="C355" s="16"/>
      <c r="D355" s="16"/>
    </row>
    <row r="356">
      <c r="B356" s="16"/>
      <c r="C356" s="16"/>
      <c r="D356" s="16"/>
    </row>
    <row r="357">
      <c r="B357" s="16"/>
      <c r="C357" s="16"/>
      <c r="D357" s="16"/>
    </row>
    <row r="358">
      <c r="B358" s="16"/>
      <c r="C358" s="16"/>
      <c r="D358" s="16"/>
    </row>
    <row r="359">
      <c r="B359" s="16"/>
      <c r="C359" s="16"/>
      <c r="D359" s="16"/>
    </row>
    <row r="360">
      <c r="B360" s="16"/>
      <c r="C360" s="16"/>
      <c r="D360" s="16"/>
    </row>
    <row r="361">
      <c r="B361" s="16"/>
      <c r="C361" s="16"/>
      <c r="D361" s="16"/>
    </row>
    <row r="362">
      <c r="B362" s="16"/>
      <c r="C362" s="16"/>
      <c r="D362" s="16"/>
    </row>
    <row r="363">
      <c r="B363" s="16"/>
      <c r="C363" s="16"/>
      <c r="D363" s="16"/>
    </row>
    <row r="364">
      <c r="B364" s="16"/>
      <c r="C364" s="16"/>
      <c r="D364" s="16"/>
    </row>
    <row r="365">
      <c r="B365" s="16"/>
      <c r="C365" s="16"/>
      <c r="D365" s="16"/>
    </row>
    <row r="366">
      <c r="B366" s="16"/>
      <c r="C366" s="16"/>
      <c r="D366" s="16"/>
    </row>
    <row r="367">
      <c r="B367" s="16"/>
      <c r="C367" s="16"/>
      <c r="D367" s="16"/>
    </row>
    <row r="368">
      <c r="B368" s="16"/>
      <c r="C368" s="16"/>
      <c r="D368" s="16"/>
    </row>
    <row r="369">
      <c r="B369" s="16"/>
      <c r="C369" s="16"/>
      <c r="D369" s="16"/>
    </row>
    <row r="370">
      <c r="B370" s="16"/>
      <c r="C370" s="16"/>
      <c r="D370" s="16"/>
    </row>
    <row r="371">
      <c r="B371" s="16"/>
      <c r="C371" s="16"/>
      <c r="D371" s="16"/>
    </row>
    <row r="372">
      <c r="B372" s="16"/>
      <c r="C372" s="16"/>
      <c r="D372" s="16"/>
    </row>
    <row r="373">
      <c r="B373" s="16"/>
      <c r="C373" s="16"/>
      <c r="D373" s="16"/>
    </row>
    <row r="374">
      <c r="B374" s="16"/>
      <c r="C374" s="16"/>
      <c r="D374" s="16"/>
    </row>
    <row r="375">
      <c r="B375" s="16"/>
      <c r="C375" s="16"/>
      <c r="D375" s="16"/>
    </row>
    <row r="376">
      <c r="B376" s="16"/>
      <c r="C376" s="16"/>
      <c r="D376" s="16"/>
    </row>
    <row r="377">
      <c r="B377" s="16"/>
      <c r="C377" s="16"/>
      <c r="D377" s="16"/>
    </row>
    <row r="378">
      <c r="B378" s="16"/>
      <c r="C378" s="16"/>
      <c r="D378" s="16"/>
    </row>
    <row r="379">
      <c r="B379" s="16"/>
      <c r="C379" s="16"/>
      <c r="D379" s="16"/>
    </row>
    <row r="380">
      <c r="B380" s="16"/>
      <c r="C380" s="16"/>
      <c r="D380" s="16"/>
    </row>
    <row r="381">
      <c r="B381" s="16"/>
      <c r="C381" s="16"/>
      <c r="D381" s="16"/>
    </row>
    <row r="382">
      <c r="B382" s="16"/>
      <c r="C382" s="16"/>
      <c r="D382" s="16"/>
    </row>
    <row r="383">
      <c r="B383" s="16"/>
      <c r="C383" s="16"/>
      <c r="D383" s="16"/>
    </row>
    <row r="384">
      <c r="B384" s="16"/>
      <c r="C384" s="16"/>
      <c r="D384" s="16"/>
    </row>
    <row r="385">
      <c r="B385" s="16"/>
      <c r="C385" s="16"/>
      <c r="D385" s="16"/>
    </row>
    <row r="386">
      <c r="B386" s="16"/>
      <c r="C386" s="16"/>
      <c r="D386" s="16"/>
    </row>
    <row r="387">
      <c r="B387" s="16"/>
      <c r="C387" s="16"/>
      <c r="D387" s="16"/>
    </row>
    <row r="388">
      <c r="B388" s="16"/>
      <c r="C388" s="16"/>
      <c r="D388" s="16"/>
    </row>
    <row r="389">
      <c r="B389" s="16"/>
      <c r="C389" s="16"/>
      <c r="D389" s="16"/>
    </row>
    <row r="390">
      <c r="B390" s="16"/>
      <c r="C390" s="16"/>
      <c r="D390" s="16"/>
    </row>
    <row r="391">
      <c r="B391" s="16"/>
      <c r="C391" s="16"/>
      <c r="D391" s="16"/>
    </row>
    <row r="392">
      <c r="B392" s="16"/>
      <c r="C392" s="16"/>
      <c r="D392" s="16"/>
    </row>
    <row r="393">
      <c r="B393" s="16"/>
      <c r="C393" s="16"/>
      <c r="D393" s="16"/>
    </row>
    <row r="394">
      <c r="B394" s="16"/>
      <c r="C394" s="16"/>
      <c r="D394" s="16"/>
    </row>
    <row r="395">
      <c r="B395" s="16"/>
      <c r="C395" s="16"/>
      <c r="D395" s="16"/>
    </row>
    <row r="396">
      <c r="B396" s="16"/>
      <c r="C396" s="16"/>
      <c r="D396" s="16"/>
    </row>
    <row r="397">
      <c r="B397" s="16"/>
      <c r="C397" s="16"/>
      <c r="D397" s="16"/>
    </row>
    <row r="398">
      <c r="B398" s="16"/>
      <c r="C398" s="16"/>
      <c r="D398" s="16"/>
    </row>
    <row r="399">
      <c r="B399" s="16"/>
      <c r="C399" s="16"/>
      <c r="D399" s="16"/>
    </row>
    <row r="400">
      <c r="B400" s="16"/>
      <c r="C400" s="16"/>
      <c r="D400" s="16"/>
    </row>
    <row r="401">
      <c r="B401" s="16"/>
      <c r="C401" s="16"/>
      <c r="D401" s="16"/>
    </row>
    <row r="402">
      <c r="B402" s="16"/>
      <c r="C402" s="16"/>
      <c r="D402" s="16"/>
    </row>
    <row r="403">
      <c r="B403" s="16"/>
      <c r="C403" s="16"/>
      <c r="D403" s="16"/>
    </row>
    <row r="404">
      <c r="B404" s="16"/>
      <c r="C404" s="16"/>
      <c r="D404" s="16"/>
    </row>
    <row r="405">
      <c r="B405" s="16"/>
      <c r="C405" s="16"/>
      <c r="D405" s="16"/>
    </row>
    <row r="406">
      <c r="B406" s="16"/>
      <c r="C406" s="16"/>
      <c r="D406" s="16"/>
    </row>
    <row r="407">
      <c r="B407" s="16"/>
      <c r="C407" s="16"/>
      <c r="D407" s="16"/>
    </row>
    <row r="408">
      <c r="B408" s="16"/>
      <c r="C408" s="16"/>
      <c r="D408" s="16"/>
    </row>
    <row r="409">
      <c r="B409" s="16"/>
      <c r="C409" s="16"/>
      <c r="D409" s="16"/>
    </row>
    <row r="410">
      <c r="B410" s="16"/>
      <c r="C410" s="16"/>
      <c r="D410" s="16"/>
    </row>
    <row r="411">
      <c r="B411" s="16"/>
      <c r="C411" s="16"/>
      <c r="D411" s="16"/>
    </row>
    <row r="412">
      <c r="B412" s="16"/>
      <c r="C412" s="16"/>
      <c r="D412" s="16"/>
    </row>
    <row r="413">
      <c r="B413" s="16"/>
      <c r="C413" s="16"/>
      <c r="D413" s="16"/>
    </row>
    <row r="414">
      <c r="B414" s="16"/>
      <c r="C414" s="16"/>
      <c r="D414" s="16"/>
    </row>
    <row r="415">
      <c r="B415" s="16"/>
      <c r="C415" s="16"/>
      <c r="D415" s="16"/>
    </row>
    <row r="416">
      <c r="B416" s="16"/>
      <c r="C416" s="16"/>
      <c r="D416" s="16"/>
    </row>
    <row r="417">
      <c r="B417" s="16"/>
      <c r="C417" s="16"/>
      <c r="D417" s="16"/>
    </row>
    <row r="418">
      <c r="B418" s="16"/>
      <c r="C418" s="16"/>
      <c r="D418" s="16"/>
    </row>
    <row r="419">
      <c r="B419" s="16"/>
      <c r="C419" s="16"/>
      <c r="D419" s="16"/>
    </row>
    <row r="420">
      <c r="B420" s="16"/>
      <c r="C420" s="16"/>
      <c r="D420" s="16"/>
    </row>
    <row r="421">
      <c r="B421" s="16"/>
      <c r="C421" s="16"/>
      <c r="D421" s="16"/>
    </row>
    <row r="422">
      <c r="B422" s="16"/>
      <c r="C422" s="16"/>
      <c r="D422" s="16"/>
    </row>
    <row r="423">
      <c r="B423" s="16"/>
      <c r="C423" s="16"/>
      <c r="D423" s="16"/>
    </row>
    <row r="424">
      <c r="B424" s="16"/>
      <c r="C424" s="16"/>
      <c r="D424" s="16"/>
    </row>
    <row r="425">
      <c r="B425" s="16"/>
      <c r="C425" s="16"/>
      <c r="D425" s="16"/>
    </row>
    <row r="426">
      <c r="B426" s="16"/>
      <c r="C426" s="16"/>
      <c r="D426" s="16"/>
    </row>
    <row r="427">
      <c r="B427" s="16"/>
      <c r="C427" s="16"/>
      <c r="D427" s="16"/>
    </row>
    <row r="428">
      <c r="B428" s="16"/>
      <c r="C428" s="16"/>
      <c r="D428" s="16"/>
    </row>
    <row r="429">
      <c r="B429" s="16"/>
      <c r="C429" s="16"/>
      <c r="D429" s="16"/>
    </row>
    <row r="430">
      <c r="B430" s="16"/>
      <c r="C430" s="16"/>
      <c r="D430" s="16"/>
    </row>
    <row r="431">
      <c r="B431" s="16"/>
      <c r="C431" s="16"/>
      <c r="D431" s="16"/>
    </row>
    <row r="432">
      <c r="B432" s="16"/>
      <c r="C432" s="16"/>
      <c r="D432" s="16"/>
    </row>
    <row r="433">
      <c r="B433" s="16"/>
      <c r="C433" s="16"/>
      <c r="D433" s="16"/>
    </row>
    <row r="434">
      <c r="B434" s="16"/>
      <c r="C434" s="16"/>
      <c r="D434" s="16"/>
    </row>
    <row r="435">
      <c r="B435" s="16"/>
      <c r="C435" s="16"/>
      <c r="D435" s="16"/>
    </row>
    <row r="436">
      <c r="B436" s="16"/>
      <c r="C436" s="16"/>
      <c r="D436" s="16"/>
    </row>
    <row r="437">
      <c r="B437" s="16"/>
      <c r="C437" s="16"/>
      <c r="D437" s="16"/>
    </row>
    <row r="438">
      <c r="B438" s="16"/>
      <c r="C438" s="16"/>
      <c r="D438" s="16"/>
    </row>
    <row r="439">
      <c r="B439" s="16"/>
      <c r="C439" s="16"/>
      <c r="D439" s="16"/>
    </row>
    <row r="440">
      <c r="B440" s="16"/>
      <c r="C440" s="16"/>
      <c r="D440" s="16"/>
    </row>
    <row r="441">
      <c r="B441" s="16"/>
      <c r="C441" s="16"/>
      <c r="D441" s="16"/>
    </row>
    <row r="442">
      <c r="B442" s="16"/>
      <c r="C442" s="16"/>
      <c r="D442" s="16"/>
    </row>
    <row r="443">
      <c r="B443" s="16"/>
      <c r="C443" s="16"/>
      <c r="D443" s="16"/>
    </row>
    <row r="444">
      <c r="B444" s="16"/>
      <c r="C444" s="16"/>
      <c r="D444" s="16"/>
    </row>
    <row r="445">
      <c r="B445" s="16"/>
      <c r="C445" s="16"/>
      <c r="D445" s="16"/>
    </row>
    <row r="446">
      <c r="B446" s="16"/>
      <c r="C446" s="16"/>
      <c r="D446" s="16"/>
    </row>
    <row r="447">
      <c r="B447" s="16"/>
      <c r="C447" s="16"/>
      <c r="D447" s="16"/>
    </row>
    <row r="448">
      <c r="B448" s="16"/>
      <c r="C448" s="16"/>
      <c r="D448" s="16"/>
    </row>
    <row r="449">
      <c r="B449" s="16"/>
      <c r="C449" s="16"/>
      <c r="D449" s="16"/>
    </row>
    <row r="450">
      <c r="B450" s="16"/>
      <c r="C450" s="16"/>
      <c r="D450" s="16"/>
    </row>
    <row r="451">
      <c r="B451" s="16"/>
      <c r="C451" s="16"/>
      <c r="D451" s="16"/>
    </row>
    <row r="452">
      <c r="B452" s="16"/>
      <c r="C452" s="16"/>
      <c r="D452" s="16"/>
    </row>
    <row r="453">
      <c r="B453" s="16"/>
      <c r="C453" s="16"/>
      <c r="D453" s="16"/>
    </row>
    <row r="454">
      <c r="B454" s="16"/>
      <c r="C454" s="16"/>
      <c r="D454" s="16"/>
    </row>
    <row r="455">
      <c r="B455" s="16"/>
      <c r="C455" s="16"/>
      <c r="D455" s="16"/>
    </row>
    <row r="456">
      <c r="B456" s="16"/>
      <c r="C456" s="16"/>
      <c r="D456" s="16"/>
    </row>
    <row r="457">
      <c r="B457" s="16"/>
      <c r="C457" s="16"/>
      <c r="D457" s="16"/>
    </row>
    <row r="458">
      <c r="B458" s="16"/>
      <c r="C458" s="16"/>
      <c r="D458" s="16"/>
    </row>
    <row r="459">
      <c r="B459" s="16"/>
      <c r="C459" s="16"/>
      <c r="D459" s="16"/>
    </row>
    <row r="460">
      <c r="B460" s="16"/>
      <c r="C460" s="16"/>
      <c r="D460" s="16"/>
    </row>
    <row r="461">
      <c r="B461" s="16"/>
      <c r="C461" s="16"/>
      <c r="D461" s="16"/>
    </row>
    <row r="462">
      <c r="B462" s="16"/>
      <c r="C462" s="16"/>
      <c r="D462" s="16"/>
    </row>
    <row r="463">
      <c r="B463" s="16"/>
      <c r="C463" s="16"/>
      <c r="D463" s="16"/>
    </row>
    <row r="464">
      <c r="B464" s="16"/>
      <c r="C464" s="16"/>
      <c r="D464" s="16"/>
    </row>
    <row r="465">
      <c r="B465" s="16"/>
      <c r="C465" s="16"/>
      <c r="D465" s="16"/>
    </row>
    <row r="466">
      <c r="B466" s="16"/>
      <c r="C466" s="16"/>
      <c r="D466" s="16"/>
    </row>
    <row r="467">
      <c r="B467" s="16"/>
      <c r="C467" s="16"/>
      <c r="D467" s="16"/>
    </row>
    <row r="468">
      <c r="B468" s="16"/>
      <c r="C468" s="16"/>
      <c r="D468" s="16"/>
    </row>
    <row r="469">
      <c r="B469" s="16"/>
      <c r="C469" s="16"/>
      <c r="D469" s="16"/>
    </row>
    <row r="470">
      <c r="B470" s="16"/>
      <c r="C470" s="16"/>
      <c r="D470" s="16"/>
    </row>
    <row r="471">
      <c r="B471" s="16"/>
      <c r="C471" s="16"/>
      <c r="D471" s="16"/>
    </row>
    <row r="472">
      <c r="B472" s="16"/>
      <c r="C472" s="16"/>
      <c r="D472" s="16"/>
    </row>
    <row r="473">
      <c r="B473" s="16"/>
      <c r="C473" s="16"/>
      <c r="D473" s="16"/>
    </row>
    <row r="474">
      <c r="B474" s="16"/>
      <c r="C474" s="16"/>
      <c r="D474" s="16"/>
    </row>
    <row r="475">
      <c r="B475" s="16"/>
      <c r="C475" s="16"/>
      <c r="D475" s="16"/>
    </row>
    <row r="476">
      <c r="B476" s="16"/>
      <c r="C476" s="16"/>
      <c r="D476" s="16"/>
    </row>
    <row r="477">
      <c r="B477" s="16"/>
      <c r="C477" s="16"/>
      <c r="D477" s="16"/>
    </row>
    <row r="478">
      <c r="B478" s="16"/>
      <c r="C478" s="16"/>
      <c r="D478" s="16"/>
    </row>
    <row r="479">
      <c r="B479" s="16"/>
      <c r="C479" s="16"/>
      <c r="D479" s="16"/>
    </row>
    <row r="480">
      <c r="B480" s="16"/>
      <c r="C480" s="16"/>
      <c r="D480" s="16"/>
    </row>
    <row r="481">
      <c r="B481" s="16"/>
      <c r="C481" s="16"/>
      <c r="D481" s="16"/>
    </row>
    <row r="482">
      <c r="B482" s="16"/>
      <c r="C482" s="16"/>
      <c r="D482" s="16"/>
    </row>
    <row r="483">
      <c r="B483" s="16"/>
      <c r="C483" s="16"/>
      <c r="D483" s="16"/>
    </row>
    <row r="484">
      <c r="B484" s="16"/>
      <c r="C484" s="16"/>
      <c r="D484" s="16"/>
    </row>
    <row r="485">
      <c r="B485" s="16"/>
      <c r="C485" s="16"/>
      <c r="D485" s="16"/>
    </row>
    <row r="486">
      <c r="B486" s="16"/>
      <c r="C486" s="16"/>
      <c r="D486" s="16"/>
    </row>
    <row r="487">
      <c r="B487" s="16"/>
      <c r="C487" s="16"/>
      <c r="D487" s="16"/>
    </row>
    <row r="488">
      <c r="B488" s="16"/>
      <c r="C488" s="16"/>
      <c r="D488" s="16"/>
    </row>
    <row r="489">
      <c r="B489" s="16"/>
      <c r="C489" s="16"/>
      <c r="D489" s="16"/>
    </row>
    <row r="490">
      <c r="B490" s="16"/>
      <c r="C490" s="16"/>
      <c r="D490" s="16"/>
    </row>
    <row r="491">
      <c r="B491" s="16"/>
      <c r="C491" s="16"/>
      <c r="D491" s="16"/>
    </row>
    <row r="492">
      <c r="B492" s="16"/>
      <c r="C492" s="16"/>
      <c r="D492" s="16"/>
    </row>
    <row r="493">
      <c r="B493" s="16"/>
      <c r="C493" s="16"/>
      <c r="D493" s="16"/>
    </row>
    <row r="494">
      <c r="B494" s="16"/>
      <c r="C494" s="16"/>
      <c r="D494" s="16"/>
    </row>
    <row r="495">
      <c r="B495" s="16"/>
      <c r="C495" s="16"/>
      <c r="D495" s="16"/>
    </row>
    <row r="496">
      <c r="B496" s="16"/>
      <c r="C496" s="16"/>
      <c r="D496" s="16"/>
    </row>
    <row r="497">
      <c r="B497" s="16"/>
      <c r="C497" s="16"/>
      <c r="D497" s="16"/>
    </row>
    <row r="498">
      <c r="B498" s="16"/>
      <c r="C498" s="16"/>
      <c r="D498" s="16"/>
    </row>
    <row r="499">
      <c r="B499" s="16"/>
      <c r="C499" s="16"/>
      <c r="D499" s="16"/>
    </row>
    <row r="500">
      <c r="B500" s="16"/>
      <c r="C500" s="16"/>
      <c r="D500" s="16"/>
    </row>
    <row r="501">
      <c r="B501" s="16"/>
      <c r="C501" s="16"/>
      <c r="D501" s="16"/>
    </row>
    <row r="502">
      <c r="B502" s="16"/>
      <c r="C502" s="16"/>
      <c r="D502" s="16"/>
    </row>
    <row r="503">
      <c r="B503" s="16"/>
      <c r="C503" s="16"/>
      <c r="D503" s="16"/>
    </row>
    <row r="504">
      <c r="B504" s="16"/>
      <c r="C504" s="16"/>
      <c r="D504" s="16"/>
    </row>
    <row r="505">
      <c r="B505" s="16"/>
      <c r="C505" s="16"/>
      <c r="D505" s="16"/>
    </row>
    <row r="506">
      <c r="B506" s="16"/>
      <c r="C506" s="16"/>
      <c r="D506" s="16"/>
    </row>
    <row r="507">
      <c r="B507" s="16"/>
      <c r="C507" s="16"/>
      <c r="D507" s="16"/>
    </row>
    <row r="508">
      <c r="B508" s="16"/>
      <c r="C508" s="16"/>
      <c r="D508" s="16"/>
    </row>
    <row r="509">
      <c r="B509" s="16"/>
      <c r="C509" s="16"/>
      <c r="D509" s="16"/>
    </row>
    <row r="510">
      <c r="B510" s="16"/>
      <c r="C510" s="16"/>
      <c r="D510" s="16"/>
    </row>
    <row r="511">
      <c r="B511" s="16"/>
      <c r="C511" s="16"/>
      <c r="D511" s="16"/>
    </row>
    <row r="512">
      <c r="B512" s="16"/>
      <c r="C512" s="16"/>
      <c r="D512" s="16"/>
    </row>
    <row r="513">
      <c r="B513" s="16"/>
      <c r="C513" s="16"/>
      <c r="D513" s="16"/>
    </row>
    <row r="514">
      <c r="B514" s="16"/>
      <c r="C514" s="16"/>
      <c r="D514" s="16"/>
    </row>
    <row r="515">
      <c r="B515" s="16"/>
      <c r="C515" s="16"/>
      <c r="D515" s="16"/>
    </row>
    <row r="516">
      <c r="B516" s="16"/>
      <c r="C516" s="16"/>
      <c r="D516" s="16"/>
    </row>
    <row r="517">
      <c r="B517" s="16"/>
      <c r="C517" s="16"/>
      <c r="D517" s="16"/>
    </row>
    <row r="518">
      <c r="B518" s="16"/>
      <c r="C518" s="16"/>
      <c r="D518" s="16"/>
    </row>
    <row r="519">
      <c r="B519" s="16"/>
      <c r="C519" s="16"/>
      <c r="D519" s="16"/>
    </row>
    <row r="520">
      <c r="B520" s="16"/>
      <c r="C520" s="16"/>
      <c r="D520" s="16"/>
    </row>
    <row r="521">
      <c r="B521" s="16"/>
      <c r="C521" s="16"/>
      <c r="D521" s="16"/>
    </row>
    <row r="522">
      <c r="B522" s="16"/>
      <c r="C522" s="16"/>
      <c r="D522" s="16"/>
    </row>
    <row r="523">
      <c r="B523" s="16"/>
      <c r="C523" s="16"/>
      <c r="D523" s="16"/>
    </row>
    <row r="524">
      <c r="B524" s="16"/>
      <c r="C524" s="16"/>
      <c r="D524" s="16"/>
    </row>
    <row r="525">
      <c r="B525" s="16"/>
      <c r="C525" s="16"/>
      <c r="D525" s="16"/>
    </row>
    <row r="526">
      <c r="B526" s="16"/>
      <c r="C526" s="16"/>
      <c r="D526" s="16"/>
    </row>
    <row r="527">
      <c r="B527" s="16"/>
      <c r="C527" s="16"/>
      <c r="D527" s="16"/>
    </row>
    <row r="528">
      <c r="B528" s="16"/>
      <c r="C528" s="16"/>
      <c r="D528" s="16"/>
    </row>
    <row r="529">
      <c r="B529" s="16"/>
      <c r="C529" s="16"/>
      <c r="D529" s="16"/>
    </row>
    <row r="530">
      <c r="B530" s="16"/>
      <c r="C530" s="16"/>
      <c r="D530" s="16"/>
    </row>
    <row r="531">
      <c r="B531" s="16"/>
      <c r="C531" s="16"/>
      <c r="D531" s="16"/>
    </row>
    <row r="532">
      <c r="B532" s="16"/>
      <c r="C532" s="16"/>
      <c r="D532" s="16"/>
    </row>
    <row r="533">
      <c r="B533" s="16"/>
      <c r="C533" s="16"/>
      <c r="D533" s="16"/>
    </row>
    <row r="534">
      <c r="B534" s="16"/>
      <c r="C534" s="16"/>
      <c r="D534" s="16"/>
    </row>
    <row r="535">
      <c r="B535" s="16"/>
      <c r="C535" s="16"/>
      <c r="D535" s="16"/>
    </row>
    <row r="536">
      <c r="B536" s="16"/>
      <c r="C536" s="16"/>
      <c r="D536" s="16"/>
    </row>
    <row r="537">
      <c r="B537" s="16"/>
      <c r="C537" s="16"/>
      <c r="D537" s="16"/>
    </row>
    <row r="538">
      <c r="B538" s="16"/>
      <c r="C538" s="16"/>
      <c r="D538" s="16"/>
    </row>
    <row r="539">
      <c r="B539" s="16"/>
      <c r="C539" s="16"/>
      <c r="D539" s="16"/>
    </row>
    <row r="540">
      <c r="B540" s="16"/>
      <c r="C540" s="16"/>
      <c r="D540" s="16"/>
    </row>
    <row r="541">
      <c r="B541" s="16"/>
      <c r="C541" s="16"/>
      <c r="D541" s="16"/>
    </row>
    <row r="542">
      <c r="B542" s="16"/>
      <c r="C542" s="16"/>
      <c r="D542" s="16"/>
    </row>
    <row r="543">
      <c r="B543" s="16"/>
      <c r="C543" s="16"/>
      <c r="D543" s="16"/>
    </row>
    <row r="544">
      <c r="B544" s="16"/>
      <c r="C544" s="16"/>
      <c r="D544" s="16"/>
    </row>
    <row r="545">
      <c r="B545" s="16"/>
      <c r="C545" s="16"/>
      <c r="D545" s="16"/>
    </row>
    <row r="546">
      <c r="B546" s="16"/>
      <c r="C546" s="16"/>
      <c r="D546" s="16"/>
    </row>
    <row r="547">
      <c r="B547" s="16"/>
      <c r="C547" s="16"/>
      <c r="D547" s="16"/>
    </row>
    <row r="548">
      <c r="B548" s="16"/>
      <c r="C548" s="16"/>
      <c r="D548" s="16"/>
    </row>
    <row r="549">
      <c r="B549" s="16"/>
      <c r="C549" s="16"/>
      <c r="D549" s="16"/>
    </row>
    <row r="550">
      <c r="B550" s="16"/>
      <c r="C550" s="16"/>
      <c r="D550" s="16"/>
    </row>
    <row r="551">
      <c r="B551" s="16"/>
      <c r="C551" s="16"/>
      <c r="D551" s="16"/>
    </row>
    <row r="552">
      <c r="B552" s="16"/>
      <c r="C552" s="16"/>
      <c r="D552" s="16"/>
    </row>
    <row r="553">
      <c r="B553" s="16"/>
      <c r="C553" s="16"/>
      <c r="D553" s="16"/>
    </row>
    <row r="554">
      <c r="B554" s="16"/>
      <c r="C554" s="16"/>
      <c r="D554" s="16"/>
    </row>
    <row r="555">
      <c r="B555" s="16"/>
      <c r="C555" s="16"/>
      <c r="D555" s="16"/>
    </row>
    <row r="556">
      <c r="B556" s="16"/>
      <c r="C556" s="16"/>
      <c r="D556" s="16"/>
    </row>
    <row r="557">
      <c r="B557" s="16"/>
      <c r="C557" s="16"/>
      <c r="D557" s="16"/>
    </row>
    <row r="558">
      <c r="B558" s="16"/>
      <c r="C558" s="16"/>
      <c r="D558" s="16"/>
    </row>
    <row r="559">
      <c r="B559" s="16"/>
      <c r="C559" s="16"/>
      <c r="D559" s="16"/>
    </row>
    <row r="560">
      <c r="B560" s="16"/>
      <c r="C560" s="16"/>
      <c r="D560" s="16"/>
    </row>
    <row r="561">
      <c r="B561" s="16"/>
      <c r="C561" s="16"/>
      <c r="D561" s="16"/>
    </row>
    <row r="562">
      <c r="B562" s="16"/>
      <c r="C562" s="16"/>
      <c r="D562" s="16"/>
    </row>
    <row r="563">
      <c r="B563" s="16"/>
      <c r="C563" s="16"/>
      <c r="D563" s="16"/>
    </row>
    <row r="564">
      <c r="B564" s="16"/>
      <c r="C564" s="16"/>
      <c r="D564" s="16"/>
    </row>
    <row r="565">
      <c r="B565" s="16"/>
      <c r="C565" s="16"/>
      <c r="D565" s="16"/>
    </row>
    <row r="566">
      <c r="B566" s="16"/>
      <c r="C566" s="16"/>
      <c r="D566" s="16"/>
    </row>
    <row r="567">
      <c r="B567" s="16"/>
      <c r="C567" s="16"/>
      <c r="D567" s="16"/>
    </row>
    <row r="568">
      <c r="B568" s="16"/>
      <c r="C568" s="16"/>
      <c r="D568" s="16"/>
    </row>
    <row r="569">
      <c r="B569" s="16"/>
      <c r="C569" s="16"/>
      <c r="D569" s="16"/>
    </row>
    <row r="570">
      <c r="B570" s="16"/>
      <c r="C570" s="16"/>
      <c r="D570" s="16"/>
    </row>
    <row r="571">
      <c r="B571" s="16"/>
      <c r="C571" s="16"/>
      <c r="D571" s="16"/>
    </row>
    <row r="572">
      <c r="B572" s="16"/>
      <c r="C572" s="16"/>
      <c r="D572" s="16"/>
    </row>
    <row r="573">
      <c r="B573" s="16"/>
      <c r="C573" s="16"/>
      <c r="D573" s="16"/>
    </row>
    <row r="574">
      <c r="B574" s="16"/>
      <c r="C574" s="16"/>
      <c r="D574" s="16"/>
    </row>
    <row r="575">
      <c r="B575" s="16"/>
      <c r="C575" s="16"/>
      <c r="D575" s="16"/>
    </row>
    <row r="576">
      <c r="B576" s="16"/>
      <c r="C576" s="16"/>
      <c r="D576" s="16"/>
    </row>
    <row r="577">
      <c r="B577" s="16"/>
      <c r="C577" s="16"/>
      <c r="D577" s="16"/>
    </row>
    <row r="578">
      <c r="B578" s="16"/>
      <c r="C578" s="16"/>
      <c r="D578" s="16"/>
    </row>
    <row r="579">
      <c r="B579" s="16"/>
      <c r="C579" s="16"/>
      <c r="D579" s="16"/>
    </row>
    <row r="580">
      <c r="B580" s="16"/>
      <c r="C580" s="16"/>
      <c r="D580" s="16"/>
    </row>
    <row r="581">
      <c r="B581" s="16"/>
      <c r="C581" s="16"/>
      <c r="D581" s="16"/>
    </row>
    <row r="582">
      <c r="B582" s="16"/>
      <c r="C582" s="16"/>
      <c r="D582" s="16"/>
    </row>
    <row r="583">
      <c r="B583" s="16"/>
      <c r="C583" s="16"/>
      <c r="D583" s="16"/>
    </row>
    <row r="584">
      <c r="B584" s="16"/>
      <c r="C584" s="16"/>
      <c r="D584" s="16"/>
    </row>
    <row r="585">
      <c r="B585" s="16"/>
      <c r="C585" s="16"/>
      <c r="D585" s="16"/>
    </row>
    <row r="586">
      <c r="B586" s="16"/>
      <c r="C586" s="16"/>
      <c r="D586" s="16"/>
    </row>
    <row r="587">
      <c r="B587" s="16"/>
      <c r="C587" s="16"/>
      <c r="D587" s="16"/>
    </row>
    <row r="588">
      <c r="B588" s="16"/>
      <c r="C588" s="16"/>
      <c r="D588" s="16"/>
    </row>
    <row r="589">
      <c r="B589" s="16"/>
      <c r="C589" s="16"/>
      <c r="D589" s="16"/>
    </row>
    <row r="590">
      <c r="B590" s="16"/>
      <c r="C590" s="16"/>
      <c r="D590" s="16"/>
    </row>
    <row r="591">
      <c r="B591" s="16"/>
      <c r="C591" s="16"/>
      <c r="D591" s="16"/>
    </row>
    <row r="592">
      <c r="B592" s="16"/>
      <c r="C592" s="16"/>
      <c r="D592" s="16"/>
    </row>
    <row r="593">
      <c r="B593" s="16"/>
      <c r="C593" s="16"/>
      <c r="D593" s="16"/>
    </row>
    <row r="594">
      <c r="B594" s="16"/>
      <c r="C594" s="16"/>
      <c r="D594" s="16"/>
    </row>
    <row r="595">
      <c r="B595" s="16"/>
      <c r="C595" s="16"/>
      <c r="D595" s="16"/>
    </row>
    <row r="596">
      <c r="B596" s="16"/>
      <c r="C596" s="16"/>
      <c r="D596" s="16"/>
    </row>
    <row r="597">
      <c r="B597" s="16"/>
      <c r="C597" s="16"/>
      <c r="D597" s="16"/>
    </row>
    <row r="598">
      <c r="B598" s="16"/>
      <c r="C598" s="16"/>
      <c r="D598" s="16"/>
    </row>
    <row r="599">
      <c r="B599" s="16"/>
      <c r="C599" s="16"/>
      <c r="D599" s="16"/>
    </row>
    <row r="600">
      <c r="B600" s="16"/>
      <c r="C600" s="16"/>
      <c r="D600" s="16"/>
    </row>
    <row r="601">
      <c r="B601" s="16"/>
      <c r="C601" s="16"/>
      <c r="D601" s="16"/>
    </row>
    <row r="602">
      <c r="B602" s="16"/>
      <c r="C602" s="16"/>
      <c r="D602" s="16"/>
    </row>
    <row r="603">
      <c r="B603" s="16"/>
      <c r="C603" s="16"/>
      <c r="D603" s="16"/>
    </row>
    <row r="604">
      <c r="B604" s="16"/>
      <c r="C604" s="16"/>
      <c r="D604" s="16"/>
    </row>
    <row r="605">
      <c r="B605" s="16"/>
      <c r="C605" s="16"/>
      <c r="D605" s="16"/>
    </row>
    <row r="606">
      <c r="B606" s="16"/>
      <c r="C606" s="16"/>
      <c r="D606" s="16"/>
    </row>
    <row r="607">
      <c r="B607" s="16"/>
      <c r="C607" s="16"/>
      <c r="D607" s="16"/>
    </row>
    <row r="608">
      <c r="B608" s="16"/>
      <c r="C608" s="16"/>
      <c r="D608" s="16"/>
    </row>
    <row r="609">
      <c r="B609" s="16"/>
      <c r="C609" s="16"/>
      <c r="D609" s="16"/>
    </row>
    <row r="610">
      <c r="B610" s="16"/>
      <c r="C610" s="16"/>
      <c r="D610" s="16"/>
    </row>
    <row r="611">
      <c r="B611" s="16"/>
      <c r="C611" s="16"/>
      <c r="D611" s="16"/>
    </row>
    <row r="612">
      <c r="B612" s="16"/>
      <c r="C612" s="16"/>
      <c r="D612" s="16"/>
    </row>
    <row r="613">
      <c r="B613" s="16"/>
      <c r="C613" s="16"/>
      <c r="D613" s="16"/>
    </row>
    <row r="614">
      <c r="B614" s="16"/>
      <c r="C614" s="16"/>
      <c r="D614" s="16"/>
    </row>
    <row r="615">
      <c r="B615" s="16"/>
      <c r="C615" s="16"/>
      <c r="D615" s="16"/>
    </row>
    <row r="616">
      <c r="B616" s="16"/>
      <c r="C616" s="16"/>
      <c r="D616" s="16"/>
    </row>
    <row r="617">
      <c r="B617" s="16"/>
      <c r="C617" s="16"/>
      <c r="D617" s="16"/>
    </row>
    <row r="618">
      <c r="B618" s="16"/>
      <c r="C618" s="16"/>
      <c r="D618" s="16"/>
    </row>
    <row r="619">
      <c r="B619" s="16"/>
      <c r="C619" s="16"/>
      <c r="D619" s="16"/>
    </row>
    <row r="620">
      <c r="B620" s="16"/>
      <c r="C620" s="16"/>
      <c r="D620" s="16"/>
    </row>
    <row r="621">
      <c r="B621" s="16"/>
      <c r="C621" s="16"/>
      <c r="D621" s="16"/>
    </row>
    <row r="622">
      <c r="B622" s="16"/>
      <c r="C622" s="16"/>
      <c r="D622" s="16"/>
    </row>
    <row r="623">
      <c r="B623" s="16"/>
      <c r="C623" s="16"/>
      <c r="D623" s="16"/>
    </row>
    <row r="624">
      <c r="B624" s="16"/>
      <c r="C624" s="16"/>
      <c r="D624" s="16"/>
    </row>
    <row r="625">
      <c r="B625" s="16"/>
      <c r="C625" s="16"/>
      <c r="D625" s="16"/>
    </row>
    <row r="626">
      <c r="B626" s="16"/>
      <c r="C626" s="16"/>
      <c r="D626" s="16"/>
    </row>
    <row r="627">
      <c r="B627" s="16"/>
      <c r="C627" s="16"/>
      <c r="D627" s="16"/>
    </row>
    <row r="628">
      <c r="B628" s="16"/>
      <c r="C628" s="16"/>
      <c r="D628" s="16"/>
    </row>
    <row r="629">
      <c r="B629" s="16"/>
      <c r="C629" s="16"/>
      <c r="D629" s="16"/>
    </row>
    <row r="630">
      <c r="B630" s="16"/>
      <c r="C630" s="16"/>
      <c r="D630" s="16"/>
    </row>
    <row r="631">
      <c r="B631" s="16"/>
      <c r="C631" s="16"/>
      <c r="D631" s="16"/>
    </row>
    <row r="632">
      <c r="B632" s="16"/>
      <c r="C632" s="16"/>
      <c r="D632" s="16"/>
    </row>
    <row r="633">
      <c r="B633" s="16"/>
      <c r="C633" s="16"/>
      <c r="D633" s="16"/>
    </row>
    <row r="634">
      <c r="B634" s="16"/>
      <c r="C634" s="16"/>
      <c r="D634" s="16"/>
    </row>
    <row r="635">
      <c r="B635" s="16"/>
      <c r="C635" s="16"/>
      <c r="D635" s="16"/>
    </row>
    <row r="636">
      <c r="B636" s="16"/>
      <c r="C636" s="16"/>
      <c r="D636" s="16"/>
    </row>
    <row r="637">
      <c r="B637" s="16"/>
      <c r="C637" s="16"/>
      <c r="D637" s="16"/>
    </row>
    <row r="638">
      <c r="B638" s="16"/>
      <c r="C638" s="16"/>
      <c r="D638" s="16"/>
    </row>
    <row r="639">
      <c r="B639" s="16"/>
      <c r="C639" s="16"/>
      <c r="D639" s="16"/>
    </row>
    <row r="640">
      <c r="B640" s="16"/>
      <c r="C640" s="16"/>
      <c r="D640" s="16"/>
    </row>
    <row r="641">
      <c r="B641" s="16"/>
      <c r="C641" s="16"/>
      <c r="D641" s="16"/>
    </row>
    <row r="642">
      <c r="B642" s="16"/>
      <c r="C642" s="16"/>
      <c r="D642" s="16"/>
    </row>
    <row r="643">
      <c r="B643" s="16"/>
      <c r="C643" s="16"/>
      <c r="D643" s="16"/>
    </row>
    <row r="644">
      <c r="B644" s="16"/>
      <c r="C644" s="16"/>
      <c r="D644" s="16"/>
    </row>
    <row r="645">
      <c r="B645" s="16"/>
      <c r="C645" s="16"/>
      <c r="D645" s="16"/>
    </row>
    <row r="646">
      <c r="B646" s="16"/>
      <c r="C646" s="16"/>
      <c r="D646" s="16"/>
    </row>
    <row r="647">
      <c r="B647" s="16"/>
      <c r="C647" s="16"/>
      <c r="D647" s="16"/>
    </row>
    <row r="648">
      <c r="B648" s="16"/>
      <c r="C648" s="16"/>
      <c r="D648" s="16"/>
    </row>
    <row r="649">
      <c r="B649" s="16"/>
      <c r="C649" s="16"/>
      <c r="D649" s="16"/>
    </row>
    <row r="650">
      <c r="B650" s="16"/>
      <c r="C650" s="16"/>
      <c r="D650" s="16"/>
    </row>
    <row r="651">
      <c r="B651" s="16"/>
      <c r="C651" s="16"/>
      <c r="D651" s="16"/>
    </row>
    <row r="652">
      <c r="B652" s="16"/>
      <c r="C652" s="16"/>
      <c r="D652" s="16"/>
    </row>
    <row r="653">
      <c r="B653" s="16"/>
      <c r="C653" s="16"/>
      <c r="D653" s="16"/>
    </row>
    <row r="654">
      <c r="B654" s="16"/>
      <c r="C654" s="16"/>
      <c r="D654" s="16"/>
    </row>
    <row r="655">
      <c r="B655" s="16"/>
      <c r="C655" s="16"/>
      <c r="D655" s="16"/>
    </row>
    <row r="656">
      <c r="B656" s="16"/>
      <c r="C656" s="16"/>
      <c r="D656" s="16"/>
    </row>
    <row r="657">
      <c r="B657" s="16"/>
      <c r="C657" s="16"/>
      <c r="D657" s="16"/>
    </row>
    <row r="658">
      <c r="B658" s="16"/>
      <c r="C658" s="16"/>
      <c r="D658" s="16"/>
    </row>
    <row r="659">
      <c r="B659" s="16"/>
      <c r="C659" s="16"/>
      <c r="D659" s="16"/>
    </row>
    <row r="660">
      <c r="B660" s="16"/>
      <c r="C660" s="16"/>
      <c r="D660" s="16"/>
    </row>
    <row r="661">
      <c r="B661" s="16"/>
      <c r="C661" s="16"/>
      <c r="D661" s="16"/>
    </row>
    <row r="662">
      <c r="B662" s="16"/>
      <c r="C662" s="16"/>
      <c r="D662" s="16"/>
    </row>
    <row r="663">
      <c r="B663" s="16"/>
      <c r="C663" s="16"/>
      <c r="D663" s="16"/>
    </row>
    <row r="664">
      <c r="B664" s="16"/>
      <c r="C664" s="16"/>
      <c r="D664" s="16"/>
    </row>
    <row r="665">
      <c r="B665" s="16"/>
      <c r="C665" s="16"/>
      <c r="D665" s="16"/>
    </row>
    <row r="666">
      <c r="B666" s="16"/>
      <c r="C666" s="16"/>
      <c r="D666" s="16"/>
    </row>
    <row r="667">
      <c r="B667" s="16"/>
      <c r="C667" s="16"/>
      <c r="D667" s="16"/>
    </row>
    <row r="668">
      <c r="B668" s="16"/>
      <c r="C668" s="16"/>
      <c r="D668" s="16"/>
    </row>
    <row r="669">
      <c r="B669" s="16"/>
      <c r="C669" s="16"/>
      <c r="D669" s="16"/>
    </row>
    <row r="670">
      <c r="B670" s="16"/>
      <c r="C670" s="16"/>
      <c r="D670" s="16"/>
    </row>
    <row r="671">
      <c r="B671" s="16"/>
      <c r="C671" s="16"/>
      <c r="D671" s="16"/>
    </row>
    <row r="672">
      <c r="B672" s="16"/>
      <c r="C672" s="16"/>
      <c r="D672" s="16"/>
    </row>
    <row r="673">
      <c r="B673" s="16"/>
      <c r="C673" s="16"/>
      <c r="D673" s="16"/>
    </row>
    <row r="674">
      <c r="B674" s="16"/>
      <c r="C674" s="16"/>
      <c r="D674" s="16"/>
    </row>
    <row r="675">
      <c r="B675" s="16"/>
      <c r="C675" s="16"/>
      <c r="D675" s="16"/>
    </row>
    <row r="676">
      <c r="B676" s="16"/>
      <c r="C676" s="16"/>
      <c r="D676" s="16"/>
    </row>
    <row r="677">
      <c r="B677" s="16"/>
      <c r="C677" s="16"/>
      <c r="D677" s="16"/>
    </row>
    <row r="678">
      <c r="B678" s="16"/>
      <c r="C678" s="16"/>
      <c r="D678" s="16"/>
    </row>
    <row r="679">
      <c r="B679" s="16"/>
      <c r="C679" s="16"/>
      <c r="D679" s="16"/>
    </row>
    <row r="680">
      <c r="B680" s="16"/>
      <c r="C680" s="16"/>
      <c r="D680" s="16"/>
    </row>
    <row r="681">
      <c r="B681" s="16"/>
      <c r="C681" s="16"/>
      <c r="D681" s="16"/>
    </row>
    <row r="682">
      <c r="B682" s="16"/>
      <c r="C682" s="16"/>
      <c r="D682" s="16"/>
    </row>
    <row r="683">
      <c r="B683" s="16"/>
      <c r="C683" s="16"/>
      <c r="D683" s="16"/>
    </row>
    <row r="684">
      <c r="B684" s="16"/>
      <c r="C684" s="16"/>
      <c r="D684" s="16"/>
    </row>
    <row r="685">
      <c r="B685" s="16"/>
      <c r="C685" s="16"/>
      <c r="D685" s="16"/>
    </row>
    <row r="686">
      <c r="B686" s="16"/>
      <c r="C686" s="16"/>
      <c r="D686" s="16"/>
    </row>
    <row r="687">
      <c r="B687" s="16"/>
      <c r="C687" s="16"/>
      <c r="D687" s="16"/>
    </row>
    <row r="688">
      <c r="B688" s="16"/>
      <c r="C688" s="16"/>
      <c r="D688" s="16"/>
    </row>
    <row r="689">
      <c r="B689" s="16"/>
      <c r="C689" s="16"/>
      <c r="D689" s="16"/>
    </row>
    <row r="690">
      <c r="B690" s="16"/>
      <c r="C690" s="16"/>
      <c r="D690" s="16"/>
    </row>
    <row r="691">
      <c r="B691" s="16"/>
      <c r="C691" s="16"/>
      <c r="D691" s="16"/>
    </row>
    <row r="692">
      <c r="B692" s="16"/>
      <c r="C692" s="16"/>
      <c r="D692" s="16"/>
    </row>
    <row r="693">
      <c r="B693" s="16"/>
      <c r="C693" s="16"/>
      <c r="D693" s="16"/>
    </row>
    <row r="694">
      <c r="B694" s="16"/>
      <c r="C694" s="16"/>
      <c r="D694" s="16"/>
    </row>
    <row r="695">
      <c r="B695" s="16"/>
      <c r="C695" s="16"/>
      <c r="D695" s="16"/>
    </row>
    <row r="696">
      <c r="B696" s="16"/>
      <c r="C696" s="16"/>
      <c r="D696" s="16"/>
    </row>
    <row r="697">
      <c r="B697" s="16"/>
      <c r="C697" s="16"/>
      <c r="D697" s="16"/>
    </row>
    <row r="698">
      <c r="B698" s="16"/>
      <c r="C698" s="16"/>
      <c r="D698" s="16"/>
    </row>
    <row r="699">
      <c r="B699" s="16"/>
      <c r="C699" s="16"/>
      <c r="D699" s="16"/>
    </row>
    <row r="700">
      <c r="B700" s="16"/>
      <c r="C700" s="16"/>
      <c r="D700" s="16"/>
    </row>
    <row r="701">
      <c r="B701" s="16"/>
      <c r="C701" s="16"/>
      <c r="D701" s="16"/>
    </row>
    <row r="702">
      <c r="B702" s="16"/>
      <c r="C702" s="16"/>
      <c r="D702" s="16"/>
    </row>
    <row r="703">
      <c r="B703" s="16"/>
      <c r="C703" s="16"/>
      <c r="D703" s="16"/>
    </row>
    <row r="704">
      <c r="B704" s="16"/>
      <c r="C704" s="16"/>
      <c r="D704" s="16"/>
    </row>
    <row r="705">
      <c r="B705" s="16"/>
      <c r="C705" s="16"/>
      <c r="D705" s="16"/>
    </row>
    <row r="706">
      <c r="B706" s="16"/>
      <c r="C706" s="16"/>
      <c r="D706" s="16"/>
    </row>
    <row r="707">
      <c r="B707" s="16"/>
      <c r="C707" s="16"/>
      <c r="D707" s="16"/>
    </row>
    <row r="708">
      <c r="B708" s="16"/>
      <c r="C708" s="16"/>
      <c r="D708" s="16"/>
    </row>
    <row r="709">
      <c r="B709" s="16"/>
      <c r="C709" s="16"/>
      <c r="D709" s="16"/>
    </row>
    <row r="710">
      <c r="B710" s="16"/>
      <c r="C710" s="16"/>
      <c r="D710" s="16"/>
    </row>
    <row r="711">
      <c r="B711" s="16"/>
      <c r="C711" s="16"/>
      <c r="D711" s="16"/>
    </row>
    <row r="712">
      <c r="B712" s="16"/>
      <c r="C712" s="16"/>
      <c r="D712" s="16"/>
    </row>
    <row r="713">
      <c r="B713" s="16"/>
      <c r="C713" s="16"/>
      <c r="D713" s="16"/>
    </row>
    <row r="714">
      <c r="B714" s="16"/>
      <c r="C714" s="16"/>
      <c r="D714" s="16"/>
    </row>
    <row r="715">
      <c r="B715" s="16"/>
      <c r="C715" s="16"/>
      <c r="D715" s="16"/>
    </row>
    <row r="716">
      <c r="B716" s="16"/>
      <c r="C716" s="16"/>
      <c r="D716" s="16"/>
    </row>
    <row r="717">
      <c r="B717" s="16"/>
      <c r="C717" s="16"/>
      <c r="D717" s="16"/>
    </row>
    <row r="718">
      <c r="B718" s="16"/>
      <c r="C718" s="16"/>
      <c r="D718" s="16"/>
    </row>
    <row r="719">
      <c r="B719" s="16"/>
      <c r="C719" s="16"/>
      <c r="D719" s="16"/>
    </row>
    <row r="720">
      <c r="B720" s="16"/>
      <c r="C720" s="16"/>
      <c r="D720" s="16"/>
    </row>
    <row r="721">
      <c r="B721" s="16"/>
      <c r="C721" s="16"/>
      <c r="D721" s="16"/>
    </row>
    <row r="722">
      <c r="B722" s="16"/>
      <c r="C722" s="16"/>
      <c r="D722" s="16"/>
    </row>
    <row r="723">
      <c r="B723" s="16"/>
      <c r="C723" s="16"/>
      <c r="D723" s="16"/>
    </row>
    <row r="724">
      <c r="B724" s="16"/>
      <c r="C724" s="16"/>
      <c r="D724" s="16"/>
    </row>
    <row r="725">
      <c r="B725" s="16"/>
      <c r="C725" s="16"/>
      <c r="D725" s="16"/>
    </row>
    <row r="726">
      <c r="B726" s="16"/>
      <c r="C726" s="16"/>
      <c r="D726" s="16"/>
    </row>
    <row r="727">
      <c r="B727" s="16"/>
      <c r="C727" s="16"/>
      <c r="D727" s="16"/>
    </row>
    <row r="728">
      <c r="B728" s="16"/>
      <c r="C728" s="16"/>
      <c r="D728" s="16"/>
    </row>
    <row r="729">
      <c r="B729" s="16"/>
      <c r="C729" s="16"/>
      <c r="D729" s="16"/>
    </row>
    <row r="730">
      <c r="B730" s="16"/>
      <c r="C730" s="16"/>
      <c r="D730" s="16"/>
    </row>
    <row r="731">
      <c r="B731" s="16"/>
      <c r="C731" s="16"/>
      <c r="D731" s="16"/>
    </row>
    <row r="732">
      <c r="B732" s="16"/>
      <c r="C732" s="16"/>
      <c r="D732" s="16"/>
    </row>
    <row r="733">
      <c r="B733" s="16"/>
      <c r="C733" s="16"/>
      <c r="D733" s="16"/>
    </row>
    <row r="734">
      <c r="B734" s="16"/>
      <c r="C734" s="16"/>
      <c r="D734" s="16"/>
    </row>
    <row r="735">
      <c r="B735" s="16"/>
      <c r="C735" s="16"/>
      <c r="D735" s="16"/>
    </row>
    <row r="736">
      <c r="B736" s="16"/>
      <c r="C736" s="16"/>
      <c r="D736" s="16"/>
    </row>
    <row r="737">
      <c r="B737" s="16"/>
      <c r="C737" s="16"/>
      <c r="D737" s="16"/>
    </row>
    <row r="738">
      <c r="B738" s="16"/>
      <c r="C738" s="16"/>
      <c r="D738" s="16"/>
    </row>
    <row r="739">
      <c r="B739" s="16"/>
      <c r="C739" s="16"/>
      <c r="D739" s="16"/>
    </row>
    <row r="740">
      <c r="B740" s="16"/>
      <c r="C740" s="16"/>
      <c r="D740" s="16"/>
    </row>
    <row r="741">
      <c r="B741" s="16"/>
      <c r="C741" s="16"/>
      <c r="D741" s="16"/>
    </row>
    <row r="742">
      <c r="B742" s="16"/>
      <c r="C742" s="16"/>
      <c r="D742" s="16"/>
    </row>
    <row r="743">
      <c r="B743" s="16"/>
      <c r="C743" s="16"/>
      <c r="D743" s="16"/>
    </row>
    <row r="744">
      <c r="B744" s="16"/>
      <c r="C744" s="16"/>
      <c r="D744" s="16"/>
    </row>
    <row r="745">
      <c r="B745" s="16"/>
      <c r="C745" s="16"/>
      <c r="D745" s="16"/>
    </row>
    <row r="746">
      <c r="B746" s="16"/>
      <c r="C746" s="16"/>
      <c r="D746" s="16"/>
    </row>
    <row r="747">
      <c r="B747" s="16"/>
      <c r="C747" s="16"/>
      <c r="D747" s="16"/>
    </row>
    <row r="748">
      <c r="B748" s="16"/>
      <c r="C748" s="16"/>
      <c r="D748" s="16"/>
    </row>
    <row r="749">
      <c r="B749" s="16"/>
      <c r="C749" s="16"/>
      <c r="D749" s="16"/>
    </row>
    <row r="750">
      <c r="B750" s="16"/>
      <c r="C750" s="16"/>
      <c r="D750" s="16"/>
    </row>
    <row r="751">
      <c r="B751" s="16"/>
      <c r="C751" s="16"/>
      <c r="D751" s="16"/>
    </row>
    <row r="752">
      <c r="B752" s="16"/>
      <c r="C752" s="16"/>
      <c r="D752" s="16"/>
    </row>
    <row r="753">
      <c r="B753" s="16"/>
      <c r="C753" s="16"/>
      <c r="D753" s="16"/>
    </row>
    <row r="754">
      <c r="B754" s="16"/>
      <c r="C754" s="16"/>
      <c r="D754" s="16"/>
    </row>
    <row r="755">
      <c r="B755" s="16"/>
      <c r="C755" s="16"/>
      <c r="D755" s="16"/>
    </row>
    <row r="756">
      <c r="B756" s="16"/>
      <c r="C756" s="16"/>
      <c r="D756" s="16"/>
    </row>
    <row r="757">
      <c r="B757" s="16"/>
      <c r="C757" s="16"/>
      <c r="D757" s="16"/>
    </row>
    <row r="758">
      <c r="B758" s="16"/>
      <c r="C758" s="16"/>
      <c r="D758" s="16"/>
    </row>
    <row r="759">
      <c r="B759" s="16"/>
      <c r="C759" s="16"/>
      <c r="D759" s="16"/>
    </row>
    <row r="760">
      <c r="B760" s="16"/>
      <c r="C760" s="16"/>
      <c r="D760" s="16"/>
    </row>
    <row r="761">
      <c r="B761" s="16"/>
      <c r="C761" s="16"/>
      <c r="D761" s="16"/>
    </row>
    <row r="762">
      <c r="B762" s="16"/>
      <c r="C762" s="16"/>
      <c r="D762" s="16"/>
    </row>
    <row r="763">
      <c r="B763" s="16"/>
      <c r="C763" s="16"/>
      <c r="D763" s="16"/>
    </row>
    <row r="764">
      <c r="B764" s="16"/>
      <c r="C764" s="16"/>
      <c r="D764" s="16"/>
    </row>
    <row r="765">
      <c r="B765" s="16"/>
      <c r="C765" s="16"/>
      <c r="D765" s="16"/>
    </row>
    <row r="766">
      <c r="B766" s="16"/>
      <c r="C766" s="16"/>
      <c r="D766" s="16"/>
    </row>
    <row r="767">
      <c r="B767" s="16"/>
      <c r="C767" s="16"/>
      <c r="D767" s="16"/>
    </row>
    <row r="768">
      <c r="B768" s="16"/>
      <c r="C768" s="16"/>
      <c r="D768" s="16"/>
    </row>
    <row r="769">
      <c r="B769" s="16"/>
      <c r="C769" s="16"/>
      <c r="D769" s="16"/>
    </row>
    <row r="770">
      <c r="B770" s="16"/>
      <c r="C770" s="16"/>
      <c r="D770" s="16"/>
    </row>
    <row r="771">
      <c r="B771" s="16"/>
      <c r="C771" s="16"/>
      <c r="D771" s="16"/>
    </row>
    <row r="772">
      <c r="B772" s="16"/>
      <c r="C772" s="16"/>
      <c r="D772" s="16"/>
    </row>
    <row r="773">
      <c r="B773" s="16"/>
      <c r="C773" s="16"/>
      <c r="D773" s="16"/>
    </row>
    <row r="774">
      <c r="B774" s="16"/>
      <c r="C774" s="16"/>
      <c r="D774" s="16"/>
    </row>
    <row r="775">
      <c r="B775" s="16"/>
      <c r="C775" s="16"/>
      <c r="D775" s="16"/>
    </row>
    <row r="776">
      <c r="B776" s="16"/>
      <c r="C776" s="16"/>
      <c r="D776" s="16"/>
    </row>
    <row r="777">
      <c r="B777" s="16"/>
      <c r="C777" s="16"/>
      <c r="D777" s="16"/>
    </row>
    <row r="778">
      <c r="B778" s="16"/>
      <c r="C778" s="16"/>
      <c r="D778" s="16"/>
    </row>
    <row r="779">
      <c r="B779" s="16"/>
      <c r="C779" s="16"/>
      <c r="D779" s="16"/>
    </row>
    <row r="780">
      <c r="B780" s="16"/>
      <c r="C780" s="16"/>
      <c r="D780" s="16"/>
    </row>
    <row r="781">
      <c r="B781" s="16"/>
      <c r="C781" s="16"/>
      <c r="D781" s="16"/>
    </row>
    <row r="782">
      <c r="B782" s="16"/>
      <c r="C782" s="16"/>
      <c r="D782" s="16"/>
    </row>
    <row r="783">
      <c r="B783" s="16"/>
      <c r="C783" s="16"/>
      <c r="D783" s="16"/>
    </row>
    <row r="784">
      <c r="B784" s="16"/>
      <c r="C784" s="16"/>
      <c r="D784" s="16"/>
    </row>
    <row r="785">
      <c r="B785" s="16"/>
      <c r="C785" s="16"/>
      <c r="D785" s="16"/>
    </row>
    <row r="786">
      <c r="B786" s="16"/>
      <c r="C786" s="16"/>
      <c r="D786" s="16"/>
    </row>
    <row r="787">
      <c r="B787" s="16"/>
      <c r="C787" s="16"/>
      <c r="D787" s="16"/>
    </row>
    <row r="788">
      <c r="B788" s="16"/>
      <c r="C788" s="16"/>
      <c r="D788" s="16"/>
    </row>
    <row r="789">
      <c r="B789" s="16"/>
      <c r="C789" s="16"/>
      <c r="D789" s="16"/>
    </row>
    <row r="790">
      <c r="B790" s="16"/>
      <c r="C790" s="16"/>
      <c r="D790" s="16"/>
    </row>
    <row r="791">
      <c r="B791" s="16"/>
      <c r="C791" s="16"/>
      <c r="D791" s="16"/>
    </row>
    <row r="792">
      <c r="B792" s="16"/>
      <c r="C792" s="16"/>
      <c r="D792" s="16"/>
    </row>
    <row r="793">
      <c r="B793" s="16"/>
      <c r="C793" s="16"/>
      <c r="D793" s="16"/>
    </row>
    <row r="794">
      <c r="B794" s="16"/>
      <c r="C794" s="16"/>
      <c r="D794" s="16"/>
    </row>
    <row r="795">
      <c r="B795" s="16"/>
      <c r="C795" s="16"/>
      <c r="D795" s="16"/>
    </row>
    <row r="796">
      <c r="B796" s="16"/>
      <c r="C796" s="16"/>
      <c r="D796" s="16"/>
    </row>
    <row r="797">
      <c r="B797" s="16"/>
      <c r="C797" s="16"/>
      <c r="D797" s="16"/>
    </row>
    <row r="798">
      <c r="B798" s="16"/>
      <c r="C798" s="16"/>
      <c r="D798" s="16"/>
    </row>
    <row r="799">
      <c r="B799" s="16"/>
      <c r="C799" s="16"/>
      <c r="D799" s="16"/>
    </row>
    <row r="800">
      <c r="B800" s="16"/>
      <c r="C800" s="16"/>
      <c r="D800" s="16"/>
    </row>
    <row r="801">
      <c r="B801" s="16"/>
      <c r="C801" s="16"/>
      <c r="D801" s="16"/>
    </row>
    <row r="802">
      <c r="B802" s="16"/>
      <c r="C802" s="16"/>
      <c r="D802" s="16"/>
    </row>
    <row r="803">
      <c r="B803" s="16"/>
      <c r="C803" s="16"/>
      <c r="D803" s="16"/>
    </row>
    <row r="804">
      <c r="B804" s="16"/>
      <c r="C804" s="16"/>
      <c r="D804" s="16"/>
    </row>
    <row r="805">
      <c r="B805" s="16"/>
      <c r="C805" s="16"/>
      <c r="D805" s="16"/>
    </row>
    <row r="806">
      <c r="B806" s="16"/>
      <c r="C806" s="16"/>
      <c r="D806" s="16"/>
    </row>
    <row r="807">
      <c r="B807" s="16"/>
      <c r="C807" s="16"/>
      <c r="D807" s="16"/>
    </row>
    <row r="808">
      <c r="B808" s="16"/>
      <c r="C808" s="16"/>
      <c r="D808" s="16"/>
    </row>
    <row r="809">
      <c r="B809" s="16"/>
      <c r="C809" s="16"/>
      <c r="D809" s="16"/>
    </row>
    <row r="810">
      <c r="B810" s="16"/>
      <c r="C810" s="16"/>
      <c r="D810" s="16"/>
    </row>
    <row r="811">
      <c r="B811" s="16"/>
      <c r="C811" s="16"/>
      <c r="D811" s="16"/>
    </row>
    <row r="812">
      <c r="B812" s="16"/>
      <c r="C812" s="16"/>
      <c r="D812" s="16"/>
    </row>
    <row r="813">
      <c r="B813" s="16"/>
      <c r="C813" s="16"/>
      <c r="D813" s="16"/>
    </row>
    <row r="814">
      <c r="B814" s="16"/>
      <c r="C814" s="16"/>
      <c r="D814" s="16"/>
    </row>
    <row r="815">
      <c r="B815" s="16"/>
      <c r="C815" s="16"/>
      <c r="D815" s="16"/>
    </row>
    <row r="816">
      <c r="B816" s="16"/>
      <c r="C816" s="16"/>
      <c r="D816" s="16"/>
    </row>
    <row r="817">
      <c r="B817" s="16"/>
      <c r="C817" s="16"/>
      <c r="D817" s="16"/>
    </row>
    <row r="818">
      <c r="B818" s="16"/>
      <c r="C818" s="16"/>
      <c r="D818" s="16"/>
    </row>
    <row r="819">
      <c r="B819" s="16"/>
      <c r="C819" s="16"/>
      <c r="D819" s="16"/>
    </row>
    <row r="820">
      <c r="B820" s="16"/>
      <c r="C820" s="16"/>
      <c r="D820" s="16"/>
    </row>
    <row r="821">
      <c r="B821" s="16"/>
      <c r="C821" s="16"/>
      <c r="D821" s="16"/>
    </row>
    <row r="822">
      <c r="B822" s="16"/>
      <c r="C822" s="16"/>
      <c r="D822" s="16"/>
    </row>
    <row r="823">
      <c r="B823" s="16"/>
      <c r="C823" s="16"/>
      <c r="D823" s="16"/>
    </row>
    <row r="824">
      <c r="B824" s="16"/>
      <c r="C824" s="16"/>
      <c r="D824" s="16"/>
    </row>
    <row r="825">
      <c r="B825" s="16"/>
      <c r="C825" s="16"/>
      <c r="D825" s="16"/>
    </row>
    <row r="826">
      <c r="B826" s="16"/>
      <c r="C826" s="16"/>
      <c r="D826" s="16"/>
    </row>
    <row r="827">
      <c r="B827" s="16"/>
      <c r="C827" s="16"/>
      <c r="D827" s="16"/>
    </row>
    <row r="828">
      <c r="B828" s="16"/>
      <c r="C828" s="16"/>
      <c r="D828" s="16"/>
    </row>
    <row r="829">
      <c r="B829" s="16"/>
      <c r="C829" s="16"/>
      <c r="D829" s="16"/>
    </row>
    <row r="830">
      <c r="B830" s="16"/>
      <c r="C830" s="16"/>
      <c r="D830" s="16"/>
    </row>
    <row r="831">
      <c r="B831" s="16"/>
      <c r="C831" s="16"/>
      <c r="D831" s="16"/>
    </row>
    <row r="832">
      <c r="B832" s="16"/>
      <c r="C832" s="16"/>
      <c r="D832" s="16"/>
    </row>
    <row r="833">
      <c r="B833" s="16"/>
      <c r="C833" s="16"/>
      <c r="D833" s="16"/>
    </row>
    <row r="834">
      <c r="B834" s="16"/>
      <c r="C834" s="16"/>
      <c r="D834" s="16"/>
    </row>
    <row r="835">
      <c r="B835" s="16"/>
      <c r="C835" s="16"/>
      <c r="D835" s="16"/>
    </row>
    <row r="836">
      <c r="B836" s="16"/>
      <c r="C836" s="16"/>
      <c r="D836" s="16"/>
    </row>
    <row r="837">
      <c r="B837" s="16"/>
      <c r="C837" s="16"/>
      <c r="D837" s="16"/>
    </row>
    <row r="838">
      <c r="B838" s="16"/>
      <c r="C838" s="16"/>
      <c r="D838" s="16"/>
    </row>
    <row r="839">
      <c r="B839" s="16"/>
      <c r="C839" s="16"/>
      <c r="D839" s="16"/>
    </row>
    <row r="840">
      <c r="B840" s="16"/>
      <c r="C840" s="16"/>
      <c r="D840" s="16"/>
    </row>
    <row r="841">
      <c r="B841" s="16"/>
      <c r="C841" s="16"/>
      <c r="D841" s="16"/>
    </row>
    <row r="842">
      <c r="B842" s="16"/>
      <c r="C842" s="16"/>
      <c r="D842" s="16"/>
    </row>
    <row r="843">
      <c r="B843" s="16"/>
      <c r="C843" s="16"/>
      <c r="D843" s="16"/>
    </row>
    <row r="844">
      <c r="B844" s="16"/>
      <c r="C844" s="16"/>
      <c r="D844" s="16"/>
    </row>
    <row r="845">
      <c r="B845" s="16"/>
      <c r="C845" s="16"/>
      <c r="D845" s="16"/>
    </row>
    <row r="846">
      <c r="B846" s="16"/>
      <c r="C846" s="16"/>
      <c r="D846" s="16"/>
    </row>
    <row r="847">
      <c r="B847" s="16"/>
      <c r="C847" s="16"/>
      <c r="D847" s="16"/>
    </row>
    <row r="848">
      <c r="B848" s="16"/>
      <c r="C848" s="16"/>
      <c r="D848" s="16"/>
    </row>
    <row r="849">
      <c r="B849" s="16"/>
      <c r="C849" s="16"/>
      <c r="D849" s="16"/>
    </row>
    <row r="850">
      <c r="B850" s="16"/>
      <c r="C850" s="16"/>
      <c r="D850" s="16"/>
    </row>
    <row r="851">
      <c r="B851" s="16"/>
      <c r="C851" s="16"/>
      <c r="D851" s="16"/>
    </row>
    <row r="852">
      <c r="B852" s="16"/>
      <c r="C852" s="16"/>
      <c r="D852" s="16"/>
    </row>
    <row r="853">
      <c r="B853" s="16"/>
      <c r="C853" s="16"/>
      <c r="D853" s="16"/>
    </row>
    <row r="854">
      <c r="B854" s="16"/>
      <c r="C854" s="16"/>
      <c r="D854" s="16"/>
    </row>
    <row r="855">
      <c r="B855" s="16"/>
      <c r="C855" s="16"/>
      <c r="D855" s="16"/>
    </row>
    <row r="856">
      <c r="B856" s="16"/>
      <c r="C856" s="16"/>
      <c r="D856" s="16"/>
    </row>
    <row r="857">
      <c r="B857" s="16"/>
      <c r="C857" s="16"/>
      <c r="D857" s="16"/>
    </row>
    <row r="858">
      <c r="B858" s="16"/>
      <c r="C858" s="16"/>
      <c r="D858" s="16"/>
    </row>
    <row r="859">
      <c r="B859" s="16"/>
      <c r="C859" s="16"/>
      <c r="D859" s="16"/>
    </row>
    <row r="860">
      <c r="B860" s="16"/>
      <c r="C860" s="16"/>
      <c r="D860" s="16"/>
    </row>
    <row r="861">
      <c r="B861" s="16"/>
      <c r="C861" s="16"/>
      <c r="D861" s="16"/>
    </row>
    <row r="862">
      <c r="B862" s="16"/>
      <c r="C862" s="16"/>
      <c r="D862" s="16"/>
    </row>
    <row r="863">
      <c r="B863" s="16"/>
      <c r="C863" s="16"/>
      <c r="D863" s="16"/>
    </row>
    <row r="864">
      <c r="B864" s="16"/>
      <c r="C864" s="16"/>
      <c r="D864" s="16"/>
    </row>
    <row r="865">
      <c r="B865" s="16"/>
      <c r="C865" s="16"/>
      <c r="D865" s="16"/>
    </row>
    <row r="866">
      <c r="B866" s="16"/>
      <c r="C866" s="16"/>
      <c r="D866" s="16"/>
    </row>
    <row r="867">
      <c r="B867" s="16"/>
      <c r="C867" s="16"/>
      <c r="D867" s="16"/>
    </row>
    <row r="868">
      <c r="B868" s="16"/>
      <c r="C868" s="16"/>
      <c r="D868" s="16"/>
    </row>
    <row r="869">
      <c r="B869" s="16"/>
      <c r="C869" s="16"/>
      <c r="D869" s="16"/>
    </row>
    <row r="870">
      <c r="B870" s="16"/>
      <c r="C870" s="16"/>
      <c r="D870" s="16"/>
    </row>
    <row r="871">
      <c r="B871" s="16"/>
      <c r="C871" s="16"/>
      <c r="D871" s="16"/>
    </row>
    <row r="872">
      <c r="B872" s="16"/>
      <c r="C872" s="16"/>
      <c r="D872" s="16"/>
    </row>
    <row r="873">
      <c r="B873" s="16"/>
      <c r="C873" s="16"/>
      <c r="D873" s="16"/>
    </row>
    <row r="874">
      <c r="B874" s="16"/>
      <c r="C874" s="16"/>
      <c r="D874" s="16"/>
    </row>
    <row r="875">
      <c r="B875" s="16"/>
      <c r="C875" s="16"/>
      <c r="D875" s="16"/>
    </row>
    <row r="876">
      <c r="B876" s="16"/>
      <c r="C876" s="16"/>
      <c r="D876" s="16"/>
    </row>
    <row r="877">
      <c r="B877" s="16"/>
      <c r="C877" s="16"/>
      <c r="D877" s="16"/>
    </row>
    <row r="878">
      <c r="B878" s="16"/>
      <c r="C878" s="16"/>
      <c r="D878" s="16"/>
    </row>
    <row r="879">
      <c r="B879" s="16"/>
      <c r="C879" s="16"/>
      <c r="D879" s="16"/>
    </row>
    <row r="880">
      <c r="B880" s="16"/>
      <c r="C880" s="16"/>
      <c r="D880" s="16"/>
    </row>
    <row r="881">
      <c r="B881" s="16"/>
      <c r="C881" s="16"/>
      <c r="D881" s="16"/>
    </row>
    <row r="882">
      <c r="B882" s="16"/>
      <c r="C882" s="16"/>
      <c r="D882" s="16"/>
    </row>
    <row r="883">
      <c r="B883" s="16"/>
      <c r="C883" s="16"/>
      <c r="D883" s="16"/>
    </row>
    <row r="884">
      <c r="B884" s="16"/>
      <c r="C884" s="16"/>
      <c r="D884" s="16"/>
    </row>
    <row r="885">
      <c r="B885" s="16"/>
      <c r="C885" s="16"/>
      <c r="D885" s="16"/>
    </row>
    <row r="886">
      <c r="B886" s="16"/>
      <c r="C886" s="16"/>
      <c r="D886" s="16"/>
    </row>
    <row r="887">
      <c r="B887" s="16"/>
      <c r="C887" s="16"/>
      <c r="D887" s="16"/>
    </row>
    <row r="888">
      <c r="B888" s="16"/>
      <c r="C888" s="16"/>
      <c r="D888" s="16"/>
    </row>
    <row r="889">
      <c r="B889" s="16"/>
      <c r="C889" s="16"/>
      <c r="D889" s="16"/>
    </row>
    <row r="890">
      <c r="B890" s="16"/>
      <c r="C890" s="16"/>
      <c r="D890" s="16"/>
    </row>
    <row r="891">
      <c r="B891" s="16"/>
      <c r="C891" s="16"/>
      <c r="D891" s="16"/>
    </row>
    <row r="892">
      <c r="B892" s="16"/>
      <c r="C892" s="16"/>
      <c r="D892" s="16"/>
    </row>
    <row r="893">
      <c r="B893" s="16"/>
      <c r="C893" s="16"/>
      <c r="D893" s="16"/>
    </row>
    <row r="894">
      <c r="B894" s="16"/>
      <c r="C894" s="16"/>
      <c r="D894" s="16"/>
    </row>
    <row r="895">
      <c r="B895" s="16"/>
      <c r="C895" s="16"/>
      <c r="D895" s="16"/>
    </row>
    <row r="896">
      <c r="B896" s="16"/>
      <c r="C896" s="16"/>
      <c r="D896" s="16"/>
    </row>
    <row r="897">
      <c r="B897" s="16"/>
      <c r="C897" s="16"/>
      <c r="D897" s="16"/>
    </row>
    <row r="898">
      <c r="B898" s="16"/>
      <c r="C898" s="16"/>
      <c r="D898" s="16"/>
    </row>
    <row r="899">
      <c r="B899" s="16"/>
      <c r="C899" s="16"/>
      <c r="D899" s="16"/>
    </row>
    <row r="900">
      <c r="B900" s="16"/>
      <c r="C900" s="16"/>
      <c r="D900" s="16"/>
    </row>
    <row r="901">
      <c r="B901" s="16"/>
      <c r="C901" s="16"/>
      <c r="D901" s="16"/>
    </row>
    <row r="902">
      <c r="B902" s="16"/>
      <c r="C902" s="16"/>
      <c r="D902" s="16"/>
    </row>
    <row r="903">
      <c r="B903" s="16"/>
      <c r="C903" s="16"/>
      <c r="D903" s="16"/>
    </row>
    <row r="904">
      <c r="B904" s="16"/>
      <c r="C904" s="16"/>
      <c r="D904" s="16"/>
    </row>
    <row r="905">
      <c r="B905" s="16"/>
      <c r="C905" s="16"/>
      <c r="D905" s="16"/>
    </row>
    <row r="906">
      <c r="B906" s="16"/>
      <c r="C906" s="16"/>
      <c r="D906" s="16"/>
    </row>
    <row r="907">
      <c r="B907" s="16"/>
      <c r="C907" s="16"/>
      <c r="D907" s="16"/>
    </row>
    <row r="908">
      <c r="B908" s="16"/>
      <c r="C908" s="16"/>
      <c r="D908" s="16"/>
    </row>
    <row r="909">
      <c r="B909" s="16"/>
      <c r="C909" s="16"/>
      <c r="D909" s="16"/>
    </row>
    <row r="910">
      <c r="B910" s="16"/>
      <c r="C910" s="16"/>
      <c r="D910" s="16"/>
    </row>
    <row r="911">
      <c r="B911" s="16"/>
      <c r="C911" s="16"/>
      <c r="D911" s="16"/>
    </row>
    <row r="912">
      <c r="B912" s="16"/>
      <c r="C912" s="16"/>
      <c r="D912" s="16"/>
    </row>
    <row r="913">
      <c r="B913" s="16"/>
      <c r="C913" s="16"/>
      <c r="D913" s="16"/>
    </row>
    <row r="914">
      <c r="B914" s="16"/>
      <c r="C914" s="16"/>
      <c r="D914" s="16"/>
    </row>
    <row r="915">
      <c r="B915" s="16"/>
      <c r="C915" s="16"/>
      <c r="D915" s="16"/>
    </row>
    <row r="916">
      <c r="B916" s="16"/>
      <c r="C916" s="16"/>
      <c r="D916" s="16"/>
    </row>
    <row r="917">
      <c r="B917" s="16"/>
      <c r="C917" s="16"/>
      <c r="D917" s="16"/>
    </row>
    <row r="918">
      <c r="B918" s="16"/>
      <c r="C918" s="16"/>
      <c r="D918" s="16"/>
    </row>
    <row r="919">
      <c r="B919" s="16"/>
      <c r="C919" s="16"/>
      <c r="D919" s="16"/>
    </row>
    <row r="920">
      <c r="B920" s="16"/>
      <c r="C920" s="16"/>
      <c r="D920" s="16"/>
    </row>
    <row r="921">
      <c r="B921" s="16"/>
      <c r="C921" s="16"/>
      <c r="D921" s="16"/>
    </row>
    <row r="922">
      <c r="B922" s="16"/>
      <c r="C922" s="16"/>
      <c r="D922" s="16"/>
    </row>
    <row r="923">
      <c r="B923" s="16"/>
      <c r="C923" s="16"/>
      <c r="D923" s="16"/>
    </row>
    <row r="924">
      <c r="B924" s="16"/>
      <c r="C924" s="16"/>
      <c r="D924" s="16"/>
    </row>
    <row r="925">
      <c r="B925" s="16"/>
      <c r="C925" s="16"/>
      <c r="D925" s="16"/>
    </row>
    <row r="926">
      <c r="B926" s="16"/>
      <c r="C926" s="16"/>
      <c r="D926" s="16"/>
    </row>
    <row r="927">
      <c r="B927" s="16"/>
      <c r="C927" s="16"/>
      <c r="D927" s="16"/>
    </row>
    <row r="928">
      <c r="B928" s="16"/>
      <c r="C928" s="16"/>
      <c r="D928" s="16"/>
    </row>
    <row r="929">
      <c r="B929" s="16"/>
      <c r="C929" s="16"/>
      <c r="D929" s="16"/>
    </row>
    <row r="930">
      <c r="B930" s="16"/>
      <c r="C930" s="16"/>
      <c r="D930" s="16"/>
    </row>
    <row r="931">
      <c r="B931" s="16"/>
      <c r="C931" s="16"/>
      <c r="D931" s="16"/>
    </row>
    <row r="932">
      <c r="B932" s="16"/>
      <c r="C932" s="16"/>
      <c r="D932" s="16"/>
    </row>
    <row r="933">
      <c r="B933" s="16"/>
      <c r="C933" s="16"/>
      <c r="D933" s="16"/>
    </row>
    <row r="934">
      <c r="B934" s="16"/>
      <c r="C934" s="16"/>
      <c r="D934" s="16"/>
    </row>
    <row r="935">
      <c r="B935" s="16"/>
      <c r="C935" s="16"/>
      <c r="D935" s="16"/>
    </row>
    <row r="936">
      <c r="B936" s="16"/>
      <c r="C936" s="16"/>
      <c r="D936" s="16"/>
    </row>
    <row r="937">
      <c r="B937" s="16"/>
      <c r="C937" s="16"/>
      <c r="D937" s="16"/>
    </row>
    <row r="938">
      <c r="B938" s="16"/>
      <c r="C938" s="16"/>
      <c r="D938" s="16"/>
    </row>
    <row r="939">
      <c r="B939" s="16"/>
      <c r="C939" s="16"/>
      <c r="D939" s="16"/>
    </row>
    <row r="940">
      <c r="B940" s="16"/>
      <c r="C940" s="16"/>
      <c r="D940" s="16"/>
    </row>
    <row r="941">
      <c r="B941" s="16"/>
      <c r="C941" s="16"/>
      <c r="D941" s="16"/>
    </row>
    <row r="942">
      <c r="B942" s="16"/>
      <c r="C942" s="16"/>
      <c r="D942" s="16"/>
    </row>
    <row r="943">
      <c r="B943" s="16"/>
      <c r="C943" s="16"/>
      <c r="D943" s="16"/>
    </row>
    <row r="944">
      <c r="B944" s="16"/>
      <c r="C944" s="16"/>
      <c r="D944" s="16"/>
    </row>
    <row r="945">
      <c r="B945" s="16"/>
      <c r="C945" s="16"/>
      <c r="D945" s="16"/>
    </row>
    <row r="946">
      <c r="B946" s="16"/>
      <c r="C946" s="16"/>
      <c r="D946" s="16"/>
    </row>
    <row r="947">
      <c r="B947" s="16"/>
      <c r="C947" s="16"/>
      <c r="D947" s="16"/>
    </row>
    <row r="948">
      <c r="B948" s="16"/>
      <c r="C948" s="16"/>
      <c r="D948" s="16"/>
    </row>
    <row r="949">
      <c r="B949" s="16"/>
      <c r="C949" s="16"/>
      <c r="D949" s="16"/>
    </row>
    <row r="950">
      <c r="B950" s="16"/>
      <c r="C950" s="16"/>
      <c r="D950" s="16"/>
    </row>
    <row r="951">
      <c r="B951" s="16"/>
      <c r="C951" s="16"/>
      <c r="D951" s="16"/>
    </row>
    <row r="952">
      <c r="B952" s="16"/>
      <c r="C952" s="16"/>
      <c r="D952" s="16"/>
    </row>
    <row r="953">
      <c r="B953" s="16"/>
      <c r="C953" s="16"/>
      <c r="D953" s="16"/>
    </row>
    <row r="954">
      <c r="B954" s="16"/>
      <c r="C954" s="16"/>
      <c r="D954" s="16"/>
    </row>
    <row r="955">
      <c r="B955" s="16"/>
      <c r="C955" s="16"/>
      <c r="D955" s="16"/>
    </row>
    <row r="956">
      <c r="B956" s="16"/>
      <c r="C956" s="16"/>
      <c r="D956" s="16"/>
    </row>
    <row r="957">
      <c r="B957" s="16"/>
      <c r="C957" s="16"/>
      <c r="D957" s="16"/>
    </row>
    <row r="958">
      <c r="B958" s="16"/>
      <c r="C958" s="16"/>
      <c r="D958" s="16"/>
    </row>
    <row r="959">
      <c r="B959" s="16"/>
      <c r="C959" s="16"/>
      <c r="D959" s="16"/>
    </row>
    <row r="960">
      <c r="B960" s="16"/>
      <c r="C960" s="16"/>
      <c r="D960" s="16"/>
    </row>
    <row r="961">
      <c r="B961" s="16"/>
      <c r="C961" s="16"/>
      <c r="D961" s="16"/>
    </row>
    <row r="962">
      <c r="B962" s="16"/>
      <c r="C962" s="16"/>
      <c r="D962" s="16"/>
    </row>
    <row r="963">
      <c r="B963" s="16"/>
      <c r="C963" s="16"/>
      <c r="D963" s="16"/>
    </row>
    <row r="964">
      <c r="B964" s="16"/>
      <c r="C964" s="16"/>
      <c r="D964" s="16"/>
    </row>
    <row r="965">
      <c r="B965" s="16"/>
      <c r="C965" s="16"/>
      <c r="D965" s="16"/>
    </row>
    <row r="966">
      <c r="B966" s="16"/>
      <c r="C966" s="16"/>
      <c r="D966" s="16"/>
    </row>
    <row r="967">
      <c r="B967" s="16"/>
      <c r="C967" s="16"/>
      <c r="D967" s="16"/>
    </row>
    <row r="968">
      <c r="B968" s="16"/>
      <c r="C968" s="16"/>
      <c r="D968" s="16"/>
    </row>
    <row r="969">
      <c r="B969" s="16"/>
      <c r="C969" s="16"/>
      <c r="D969" s="16"/>
    </row>
    <row r="970">
      <c r="B970" s="16"/>
      <c r="C970" s="16"/>
      <c r="D970" s="16"/>
    </row>
    <row r="971">
      <c r="B971" s="16"/>
      <c r="C971" s="16"/>
      <c r="D971" s="16"/>
    </row>
    <row r="972">
      <c r="B972" s="16"/>
      <c r="C972" s="16"/>
      <c r="D972" s="16"/>
    </row>
    <row r="973">
      <c r="B973" s="16"/>
      <c r="C973" s="16"/>
      <c r="D973" s="16"/>
    </row>
    <row r="974">
      <c r="B974" s="16"/>
      <c r="C974" s="16"/>
      <c r="D974" s="16"/>
    </row>
    <row r="975">
      <c r="B975" s="16"/>
      <c r="C975" s="16"/>
      <c r="D975" s="16"/>
    </row>
    <row r="976">
      <c r="B976" s="16"/>
      <c r="C976" s="16"/>
      <c r="D976" s="16"/>
    </row>
    <row r="977"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  <row r="1000">
      <c r="B1000" s="16"/>
      <c r="C1000" s="16"/>
      <c r="D1000" s="16"/>
    </row>
  </sheetData>
  <autoFilter ref="$C$1:$C$1000"/>
  <hyperlinks>
    <hyperlink r:id="rId1" ref="A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</hyperlinks>
  <printOptions/>
  <pageMargins bottom="1.0" footer="0.0" header="0.0" left="0.75" right="0.75" top="1.0"/>
  <pageSetup orientation="landscape"/>
  <drawing r:id="rId133"/>
</worksheet>
</file>